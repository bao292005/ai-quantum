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oadmap" sheetId="2" state="visible" r:id="rId2"/>
    <sheet xmlns:r="http://schemas.openxmlformats.org/officeDocument/2006/relationships" name="Stories" sheetId="3" state="visible" r:id="rId3"/>
    <sheet xmlns:r="http://schemas.openxmlformats.org/officeDocument/2006/relationships" name="Epics" sheetId="4" state="visible" r:id="rId4"/>
    <sheet xmlns:r="http://schemas.openxmlformats.org/officeDocument/2006/relationships" name="Team Assignment" sheetId="5" state="visible" r:id="rId5"/>
    <sheet xmlns:r="http://schemas.openxmlformats.org/officeDocument/2006/relationships" name="Risks &amp; Issues" sheetId="6" state="visible" r:id="rId6"/>
    <sheet xmlns:r="http://schemas.openxmlformats.org/officeDocument/2006/relationships" name="Hướng dẫ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1F4E78"/>
      <sz val="16"/>
    </font>
    <font>
      <i val="1"/>
      <color rgb="00595959"/>
    </font>
    <font>
      <b val="1"/>
      <color rgb="00FFFFFF"/>
    </font>
    <font>
      <b val="1"/>
      <sz val="20"/>
    </font>
    <font>
      <b val="1"/>
      <color rgb="001F4E78"/>
      <sz val="13"/>
    </font>
    <font>
      <b val="1"/>
      <color rgb="00FFFFFF"/>
      <sz val="11"/>
    </font>
    <font>
      <b val="1"/>
    </font>
    <font>
      <b val="1"/>
      <color rgb="001F4E78"/>
    </font>
    <font>
      <sz val="11"/>
    </font>
    <font>
      <b val="1"/>
      <color rgb="002E75B6"/>
      <sz val="13"/>
    </font>
    <font>
      <b val="1"/>
      <sz val="14"/>
    </font>
  </fonts>
  <fills count="1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2E75B6"/>
      </patternFill>
    </fill>
    <fill>
      <patternFill patternType="solid">
        <fgColor rgb="00FFC000"/>
      </patternFill>
    </fill>
    <fill>
      <patternFill patternType="solid">
        <fgColor rgb="00808080"/>
      </patternFill>
    </fill>
    <fill>
      <patternFill patternType="solid">
        <fgColor rgb="00C00000"/>
      </patternFill>
    </fill>
    <fill>
      <patternFill patternType="solid">
        <fgColor rgb="00E7E6E6"/>
      </patternFill>
    </fill>
    <fill>
      <patternFill patternType="solid">
        <fgColor rgb="00FFF2CC"/>
      </patternFill>
    </fill>
    <fill>
      <patternFill patternType="solid">
        <fgColor rgb="00BDD7EE"/>
      </patternFill>
    </fill>
    <fill>
      <patternFill patternType="solid">
        <fgColor rgb="00F4B084"/>
      </patternFill>
    </fill>
    <fill>
      <patternFill patternType="solid">
        <fgColor rgb="00C6EFCE"/>
      </patternFill>
    </fill>
    <fill>
      <patternFill patternType="solid">
        <fgColor rgb="00FF7C80"/>
      </patternFill>
    </fill>
    <fill>
      <patternFill patternType="solid">
        <fgColor rgb="00F2F2F2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7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1" fillId="0" borderId="0" pivotButton="0" quotePrefix="0" xfId="0"/>
    <xf numFmtId="0" fontId="7" fillId="10" borderId="0" pivotButton="0" quotePrefix="0" xfId="0"/>
    <xf numFmtId="0" fontId="7" fillId="14" borderId="0" pivotButton="0" quotePrefix="0" xfId="0"/>
    <xf numFmtId="0" fontId="0" fillId="15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9">
    <dxf>
      <fill>
        <patternFill patternType="solid">
          <fgColor rgb="00E7E6E6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BDD7EE"/>
        </patternFill>
      </fill>
    </dxf>
    <dxf>
      <fill>
        <patternFill patternType="solid">
          <fgColor rgb="00F4B084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7C80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</cols>
  <sheetData>
    <row r="1" ht="26" customHeight="1">
      <c r="A1" s="1" t="inlineStr">
        <is>
          <t>QuantumRadar — Sprint Progress Dashboard</t>
        </is>
      </c>
    </row>
    <row r="2">
      <c r="A2" s="2" t="inlineStr">
        <is>
          <t>Cập nhật: 2026-07-06  |  Nguồn: epics.md v3.1-research-build-split  |  Tổng: 74 stories, 7 epics (+12 story research/non-code)</t>
        </is>
      </c>
    </row>
    <row r="4" ht="20" customHeight="1">
      <c r="A4" s="3" t="inlineStr">
        <is>
          <t>Total Stories</t>
        </is>
      </c>
      <c r="B4" s="4" t="inlineStr">
        <is>
          <t>Done</t>
        </is>
      </c>
      <c r="C4" s="5" t="inlineStr">
        <is>
          <t>In-Progress</t>
        </is>
      </c>
      <c r="D4" s="6" t="inlineStr">
        <is>
          <t>Ready-for-Dev</t>
        </is>
      </c>
      <c r="E4" s="7" t="inlineStr">
        <is>
          <t>Backlog</t>
        </is>
      </c>
      <c r="F4" s="8" t="inlineStr">
        <is>
          <t>Blocked</t>
        </is>
      </c>
    </row>
    <row r="5" ht="34" customHeight="1">
      <c r="A5" s="9">
        <f>COUNTA(Stories!C:C)-1</f>
        <v/>
      </c>
      <c r="B5" s="9">
        <f>COUNTIF(Stories!H:H,"done")</f>
        <v/>
      </c>
      <c r="C5" s="9">
        <f>COUNTIF(Stories!H:H,"in-progress")</f>
        <v/>
      </c>
      <c r="D5" s="9">
        <f>COUNTIF(Stories!H:H,"ready-for-dev")</f>
        <v/>
      </c>
      <c r="E5" s="9">
        <f>COUNTIF(Stories!H:H,"backlog")</f>
        <v/>
      </c>
      <c r="F5" s="9">
        <f>COUNTIF(Stories!H:H,"blocked")</f>
        <v/>
      </c>
    </row>
    <row r="8">
      <c r="A8" s="10" t="inlineStr">
        <is>
          <t>Tiến độ theo Epic</t>
        </is>
      </c>
    </row>
    <row r="9">
      <c r="A9" s="11" t="inlineStr">
        <is>
          <t>Epic</t>
        </is>
      </c>
      <c r="B9" s="11" t="inlineStr">
        <is>
          <t>Total</t>
        </is>
      </c>
      <c r="C9" s="11" t="inlineStr">
        <is>
          <t>Done</t>
        </is>
      </c>
      <c r="D9" s="11" t="inlineStr">
        <is>
          <t>In-Progress</t>
        </is>
      </c>
      <c r="E9" s="11" t="inlineStr">
        <is>
          <t>Ready</t>
        </is>
      </c>
      <c r="F9" s="11" t="inlineStr">
        <is>
          <t>Backlog</t>
        </is>
      </c>
      <c r="G9" s="11" t="inlineStr">
        <is>
          <t>% Done</t>
        </is>
      </c>
      <c r="H9" s="11" t="inlineStr">
        <is>
          <t>Status</t>
        </is>
      </c>
    </row>
    <row r="10">
      <c r="A10" s="12" t="inlineStr">
        <is>
          <t>Epic 0</t>
        </is>
      </c>
      <c r="B10" s="13">
        <f>COUNTIF(Stories!B:B,"Epic 0")</f>
        <v/>
      </c>
      <c r="C10" s="13">
        <f>COUNTIFS(Stories!B:B,"Epic 0",Stories!H:H,"done")</f>
        <v/>
      </c>
      <c r="D10" s="13">
        <f>COUNTIFS(Stories!B:B,"Epic 0",Stories!H:H,"in-progress")</f>
        <v/>
      </c>
      <c r="E10" s="13">
        <f>COUNTIFS(Stories!B:B,"Epic 0",Stories!H:H,"ready-for-dev")</f>
        <v/>
      </c>
      <c r="F10" s="13">
        <f>COUNTIFS(Stories!B:B,"Epic 0",Stories!H:H,"backlog")</f>
        <v/>
      </c>
      <c r="G10" s="14">
        <f>IFERROR(C10/B10,0)</f>
        <v/>
      </c>
      <c r="H10" s="13">
        <f>IF(C10=B10,"Done",IF(D10&gt;0,"In-Progress",IF(E10&gt;0,"Ready","Backlog")))</f>
        <v/>
      </c>
    </row>
    <row r="11">
      <c r="A11" s="12" t="inlineStr">
        <is>
          <t>Epic 1</t>
        </is>
      </c>
      <c r="B11" s="13">
        <f>COUNTIF(Stories!B:B,"Epic 1")</f>
        <v/>
      </c>
      <c r="C11" s="13">
        <f>COUNTIFS(Stories!B:B,"Epic 1",Stories!H:H,"done")</f>
        <v/>
      </c>
      <c r="D11" s="13">
        <f>COUNTIFS(Stories!B:B,"Epic 1",Stories!H:H,"in-progress")</f>
        <v/>
      </c>
      <c r="E11" s="13">
        <f>COUNTIFS(Stories!B:B,"Epic 1",Stories!H:H,"ready-for-dev")</f>
        <v/>
      </c>
      <c r="F11" s="13">
        <f>COUNTIFS(Stories!B:B,"Epic 1",Stories!H:H,"backlog")</f>
        <v/>
      </c>
      <c r="G11" s="14">
        <f>IFERROR(C11/B11,0)</f>
        <v/>
      </c>
      <c r="H11" s="13">
        <f>IF(C11=B11,"Done",IF(D11&gt;0,"In-Progress",IF(E11&gt;0,"Ready","Backlog")))</f>
        <v/>
      </c>
    </row>
    <row r="12">
      <c r="A12" s="12" t="inlineStr">
        <is>
          <t>Epic 2</t>
        </is>
      </c>
      <c r="B12" s="13">
        <f>COUNTIF(Stories!B:B,"Epic 2")</f>
        <v/>
      </c>
      <c r="C12" s="13">
        <f>COUNTIFS(Stories!B:B,"Epic 2",Stories!H:H,"done")</f>
        <v/>
      </c>
      <c r="D12" s="13">
        <f>COUNTIFS(Stories!B:B,"Epic 2",Stories!H:H,"in-progress")</f>
        <v/>
      </c>
      <c r="E12" s="13">
        <f>COUNTIFS(Stories!B:B,"Epic 2",Stories!H:H,"ready-for-dev")</f>
        <v/>
      </c>
      <c r="F12" s="13">
        <f>COUNTIFS(Stories!B:B,"Epic 2",Stories!H:H,"backlog")</f>
        <v/>
      </c>
      <c r="G12" s="14">
        <f>IFERROR(C12/B12,0)</f>
        <v/>
      </c>
      <c r="H12" s="13">
        <f>IF(C12=B12,"Done",IF(D12&gt;0,"In-Progress",IF(E12&gt;0,"Ready","Backlog")))</f>
        <v/>
      </c>
    </row>
    <row r="13">
      <c r="A13" s="12" t="inlineStr">
        <is>
          <t>Epic 3</t>
        </is>
      </c>
      <c r="B13" s="13">
        <f>COUNTIF(Stories!B:B,"Epic 3")</f>
        <v/>
      </c>
      <c r="C13" s="13">
        <f>COUNTIFS(Stories!B:B,"Epic 3",Stories!H:H,"done")</f>
        <v/>
      </c>
      <c r="D13" s="13">
        <f>COUNTIFS(Stories!B:B,"Epic 3",Stories!H:H,"in-progress")</f>
        <v/>
      </c>
      <c r="E13" s="13">
        <f>COUNTIFS(Stories!B:B,"Epic 3",Stories!H:H,"ready-for-dev")</f>
        <v/>
      </c>
      <c r="F13" s="13">
        <f>COUNTIFS(Stories!B:B,"Epic 3",Stories!H:H,"backlog")</f>
        <v/>
      </c>
      <c r="G13" s="14">
        <f>IFERROR(C13/B13,0)</f>
        <v/>
      </c>
      <c r="H13" s="13">
        <f>IF(C13=B13,"Done",IF(D13&gt;0,"In-Progress",IF(E13&gt;0,"Ready","Backlog")))</f>
        <v/>
      </c>
    </row>
    <row r="14">
      <c r="A14" s="12" t="inlineStr">
        <is>
          <t>Epic 4</t>
        </is>
      </c>
      <c r="B14" s="13">
        <f>COUNTIF(Stories!B:B,"Epic 4")</f>
        <v/>
      </c>
      <c r="C14" s="13">
        <f>COUNTIFS(Stories!B:B,"Epic 4",Stories!H:H,"done")</f>
        <v/>
      </c>
      <c r="D14" s="13">
        <f>COUNTIFS(Stories!B:B,"Epic 4",Stories!H:H,"in-progress")</f>
        <v/>
      </c>
      <c r="E14" s="13">
        <f>COUNTIFS(Stories!B:B,"Epic 4",Stories!H:H,"ready-for-dev")</f>
        <v/>
      </c>
      <c r="F14" s="13">
        <f>COUNTIFS(Stories!B:B,"Epic 4",Stories!H:H,"backlog")</f>
        <v/>
      </c>
      <c r="G14" s="14">
        <f>IFERROR(C14/B14,0)</f>
        <v/>
      </c>
      <c r="H14" s="13">
        <f>IF(C14=B14,"Done",IF(D14&gt;0,"In-Progress",IF(E14&gt;0,"Ready","Backlog")))</f>
        <v/>
      </c>
    </row>
    <row r="15">
      <c r="A15" s="12" t="inlineStr">
        <is>
          <t>Epic 5</t>
        </is>
      </c>
      <c r="B15" s="13">
        <f>COUNTIF(Stories!B:B,"Epic 5")</f>
        <v/>
      </c>
      <c r="C15" s="13">
        <f>COUNTIFS(Stories!B:B,"Epic 5",Stories!H:H,"done")</f>
        <v/>
      </c>
      <c r="D15" s="13">
        <f>COUNTIFS(Stories!B:B,"Epic 5",Stories!H:H,"in-progress")</f>
        <v/>
      </c>
      <c r="E15" s="13">
        <f>COUNTIFS(Stories!B:B,"Epic 5",Stories!H:H,"ready-for-dev")</f>
        <v/>
      </c>
      <c r="F15" s="13">
        <f>COUNTIFS(Stories!B:B,"Epic 5",Stories!H:H,"backlog")</f>
        <v/>
      </c>
      <c r="G15" s="14">
        <f>IFERROR(C15/B15,0)</f>
        <v/>
      </c>
      <c r="H15" s="13">
        <f>IF(C15=B15,"Done",IF(D15&gt;0,"In-Progress",IF(E15&gt;0,"Ready","Backlog")))</f>
        <v/>
      </c>
    </row>
    <row r="16">
      <c r="A16" s="12" t="inlineStr">
        <is>
          <t>Epic 6</t>
        </is>
      </c>
      <c r="B16" s="13">
        <f>COUNTIF(Stories!B:B,"Epic 6")</f>
        <v/>
      </c>
      <c r="C16" s="13">
        <f>COUNTIFS(Stories!B:B,"Epic 6",Stories!H:H,"done")</f>
        <v/>
      </c>
      <c r="D16" s="13">
        <f>COUNTIFS(Stories!B:B,"Epic 6",Stories!H:H,"in-progress")</f>
        <v/>
      </c>
      <c r="E16" s="13">
        <f>COUNTIFS(Stories!B:B,"Epic 6",Stories!H:H,"ready-for-dev")</f>
        <v/>
      </c>
      <c r="F16" s="13">
        <f>COUNTIFS(Stories!B:B,"Epic 6",Stories!H:H,"backlog")</f>
        <v/>
      </c>
      <c r="G16" s="14">
        <f>IFERROR(C16/B16,0)</f>
        <v/>
      </c>
      <c r="H16" s="13">
        <f>IF(C16=B16,"Done",IF(D16&gt;0,"In-Progress",IF(E16&gt;0,"Ready","Backlog")))</f>
        <v/>
      </c>
    </row>
    <row r="19">
      <c r="A19" s="10" t="inlineStr">
        <is>
          <t>Tiến độ theo Sprint</t>
        </is>
      </c>
    </row>
    <row r="20">
      <c r="A20" s="11" t="inlineStr">
        <is>
          <t>Sprint</t>
        </is>
      </c>
      <c r="B20" s="11" t="inlineStr">
        <is>
          <t>Total</t>
        </is>
      </c>
      <c r="C20" s="11" t="inlineStr">
        <is>
          <t>Done</t>
        </is>
      </c>
      <c r="D20" s="11" t="inlineStr">
        <is>
          <t>In-Progress</t>
        </is>
      </c>
      <c r="E20" s="11" t="inlineStr">
        <is>
          <t>Ready</t>
        </is>
      </c>
      <c r="F20" s="11" t="inlineStr">
        <is>
          <t>Backlog</t>
        </is>
      </c>
      <c r="G20" s="11" t="inlineStr">
        <is>
          <t>% Done</t>
        </is>
      </c>
      <c r="H20" s="11" t="inlineStr">
        <is>
          <t>Health</t>
        </is>
      </c>
    </row>
    <row r="21">
      <c r="A21" s="12" t="inlineStr">
        <is>
          <t>Sprint 1</t>
        </is>
      </c>
      <c r="B21" s="13">
        <f>COUNTIF(Stories!G:G,"Sprint 1")</f>
        <v/>
      </c>
      <c r="C21" s="13">
        <f>COUNTIFS(Stories!G:G,"Sprint 1",Stories!H:H,"done")</f>
        <v/>
      </c>
      <c r="D21" s="13">
        <f>COUNTIFS(Stories!G:G,"Sprint 1",Stories!H:H,"in-progress")</f>
        <v/>
      </c>
      <c r="E21" s="13">
        <f>COUNTIFS(Stories!G:G,"Sprint 1",Stories!H:H,"ready-for-dev")</f>
        <v/>
      </c>
      <c r="F21" s="13">
        <f>COUNTIFS(Stories!G:G,"Sprint 1",Stories!H:H,"backlog")</f>
        <v/>
      </c>
      <c r="G21" s="14">
        <f>IFERROR(C21/B21,0)</f>
        <v/>
      </c>
      <c r="H21" s="13">
        <f>IF(G21&gt;=1,"✅ Done",IF(G21&gt;=0.7,"🟢 Track",IF(G21&gt;=0.4,"🟡 Watch","🔴 Risk")))</f>
        <v/>
      </c>
    </row>
    <row r="22">
      <c r="A22" s="12" t="inlineStr">
        <is>
          <t>Sprint 2</t>
        </is>
      </c>
      <c r="B22" s="13">
        <f>COUNTIF(Stories!G:G,"Sprint 2")</f>
        <v/>
      </c>
      <c r="C22" s="13">
        <f>COUNTIFS(Stories!G:G,"Sprint 2",Stories!H:H,"done")</f>
        <v/>
      </c>
      <c r="D22" s="13">
        <f>COUNTIFS(Stories!G:G,"Sprint 2",Stories!H:H,"in-progress")</f>
        <v/>
      </c>
      <c r="E22" s="13">
        <f>COUNTIFS(Stories!G:G,"Sprint 2",Stories!H:H,"ready-for-dev")</f>
        <v/>
      </c>
      <c r="F22" s="13">
        <f>COUNTIFS(Stories!G:G,"Sprint 2",Stories!H:H,"backlog")</f>
        <v/>
      </c>
      <c r="G22" s="14">
        <f>IFERROR(C22/B22,0)</f>
        <v/>
      </c>
      <c r="H22" s="13">
        <f>IF(G22&gt;=1,"✅ Done",IF(G22&gt;=0.7,"🟢 Track",IF(G22&gt;=0.4,"🟡 Watch","🔴 Risk")))</f>
        <v/>
      </c>
    </row>
    <row r="23">
      <c r="A23" s="12" t="inlineStr">
        <is>
          <t>Sprint 3</t>
        </is>
      </c>
      <c r="B23" s="13">
        <f>COUNTIF(Stories!G:G,"Sprint 3")</f>
        <v/>
      </c>
      <c r="C23" s="13">
        <f>COUNTIFS(Stories!G:G,"Sprint 3",Stories!H:H,"done")</f>
        <v/>
      </c>
      <c r="D23" s="13">
        <f>COUNTIFS(Stories!G:G,"Sprint 3",Stories!H:H,"in-progress")</f>
        <v/>
      </c>
      <c r="E23" s="13">
        <f>COUNTIFS(Stories!G:G,"Sprint 3",Stories!H:H,"ready-for-dev")</f>
        <v/>
      </c>
      <c r="F23" s="13">
        <f>COUNTIFS(Stories!G:G,"Sprint 3",Stories!H:H,"backlog")</f>
        <v/>
      </c>
      <c r="G23" s="14">
        <f>IFERROR(C23/B23,0)</f>
        <v/>
      </c>
      <c r="H23" s="13">
        <f>IF(G23&gt;=1,"✅ Done",IF(G23&gt;=0.7,"🟢 Track",IF(G23&gt;=0.4,"🟡 Watch","🔴 Risk")))</f>
        <v/>
      </c>
    </row>
    <row r="24">
      <c r="A24" s="12" t="inlineStr">
        <is>
          <t>Sprint 4</t>
        </is>
      </c>
      <c r="B24" s="13">
        <f>COUNTIF(Stories!G:G,"Sprint 4")</f>
        <v/>
      </c>
      <c r="C24" s="13">
        <f>COUNTIFS(Stories!G:G,"Sprint 4",Stories!H:H,"done")</f>
        <v/>
      </c>
      <c r="D24" s="13">
        <f>COUNTIFS(Stories!G:G,"Sprint 4",Stories!H:H,"in-progress")</f>
        <v/>
      </c>
      <c r="E24" s="13">
        <f>COUNTIFS(Stories!G:G,"Sprint 4",Stories!H:H,"ready-for-dev")</f>
        <v/>
      </c>
      <c r="F24" s="13">
        <f>COUNTIFS(Stories!G:G,"Sprint 4",Stories!H:H,"backlog")</f>
        <v/>
      </c>
      <c r="G24" s="14">
        <f>IFERROR(C24/B24,0)</f>
        <v/>
      </c>
      <c r="H24" s="13">
        <f>IF(G24&gt;=1,"✅ Done",IF(G24&gt;=0.7,"🟢 Track",IF(G24&gt;=0.4,"🟡 Watch","🔴 Risk")))</f>
        <v/>
      </c>
    </row>
    <row r="25">
      <c r="A25" s="12" t="inlineStr">
        <is>
          <t>Sprint 5</t>
        </is>
      </c>
      <c r="B25" s="13">
        <f>COUNTIF(Stories!G:G,"Sprint 5")</f>
        <v/>
      </c>
      <c r="C25" s="13">
        <f>COUNTIFS(Stories!G:G,"Sprint 5",Stories!H:H,"done")</f>
        <v/>
      </c>
      <c r="D25" s="13">
        <f>COUNTIFS(Stories!G:G,"Sprint 5",Stories!H:H,"in-progress")</f>
        <v/>
      </c>
      <c r="E25" s="13">
        <f>COUNTIFS(Stories!G:G,"Sprint 5",Stories!H:H,"ready-for-dev")</f>
        <v/>
      </c>
      <c r="F25" s="13">
        <f>COUNTIFS(Stories!G:G,"Sprint 5",Stories!H:H,"backlog")</f>
        <v/>
      </c>
      <c r="G25" s="14">
        <f>IFERROR(C25/B25,0)</f>
        <v/>
      </c>
      <c r="H25" s="13">
        <f>IF(G25&gt;=1,"✅ Done",IF(G25&gt;=0.7,"🟢 Track",IF(G25&gt;=0.4,"🟡 Watch","🔴 Risk")))</f>
        <v/>
      </c>
    </row>
    <row r="26">
      <c r="A26" s="12" t="inlineStr">
        <is>
          <t>Sprint 6</t>
        </is>
      </c>
      <c r="B26" s="13">
        <f>COUNTIF(Stories!G:G,"Sprint 6")</f>
        <v/>
      </c>
      <c r="C26" s="13">
        <f>COUNTIFS(Stories!G:G,"Sprint 6",Stories!H:H,"done")</f>
        <v/>
      </c>
      <c r="D26" s="13">
        <f>COUNTIFS(Stories!G:G,"Sprint 6",Stories!H:H,"in-progress")</f>
        <v/>
      </c>
      <c r="E26" s="13">
        <f>COUNTIFS(Stories!G:G,"Sprint 6",Stories!H:H,"ready-for-dev")</f>
        <v/>
      </c>
      <c r="F26" s="13">
        <f>COUNTIFS(Stories!G:G,"Sprint 6",Stories!H:H,"backlog")</f>
        <v/>
      </c>
      <c r="G26" s="14">
        <f>IFERROR(C26/B26,0)</f>
        <v/>
      </c>
      <c r="H26" s="13">
        <f>IF(G26&gt;=1,"✅ Done",IF(G26&gt;=0.7,"🟢 Track",IF(G26&gt;=0.4,"🟡 Watch","🔴 Risk")))</f>
        <v/>
      </c>
    </row>
    <row r="29">
      <c r="A29" s="15" t="inlineStr">
        <is>
          <t>Status Legend</t>
        </is>
      </c>
    </row>
    <row r="30">
      <c r="A30" s="16" t="inlineStr">
        <is>
          <t>backlog</t>
        </is>
      </c>
      <c r="B30" s="17" t="inlineStr">
        <is>
          <t>ready-for-dev</t>
        </is>
      </c>
      <c r="C30" s="18" t="inlineStr">
        <is>
          <t>in-progress</t>
        </is>
      </c>
      <c r="D30" s="19" t="inlineStr">
        <is>
          <t>review</t>
        </is>
      </c>
      <c r="E30" s="20" t="inlineStr">
        <is>
          <t>done</t>
        </is>
      </c>
      <c r="F30" s="21" t="inlineStr">
        <is>
          <t>blocked</t>
        </is>
      </c>
    </row>
  </sheetData>
  <mergeCells count="4">
    <mergeCell ref="A2:H2"/>
    <mergeCell ref="A8:H8"/>
    <mergeCell ref="A19:H19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0" customWidth="1" min="3" max="3"/>
    <col width="46" customWidth="1" min="4" max="4"/>
    <col width="48" customWidth="1" min="5" max="5"/>
  </cols>
  <sheetData>
    <row r="1">
      <c r="A1" s="27" t="inlineStr">
        <is>
          <t>QuantumRadar — Lộ trình thực thi (Roadmap)</t>
        </is>
      </c>
    </row>
    <row r="2">
      <c r="A2" t="inlineStr">
        <is>
          <t>Nguồn: epics.md v3.1 | Nguyên tắc: RESEARCH chốt decision TRƯỚC → BUILD tiêu thụ decision. [BUILD] độc lập chạy song song bằng mock (WSS 0.5).</t>
        </is>
      </c>
    </row>
    <row r="4">
      <c r="A4" s="28" t="inlineStr">
        <is>
          <t>① ƯU TIÊN NGAY — Research Sprint (5 task P0, chặn code)</t>
        </is>
      </c>
    </row>
    <row r="5">
      <c r="A5" s="29" t="inlineStr">
        <is>
          <t>Thứ tự</t>
        </is>
      </c>
      <c r="B5" s="29" t="inlineStr">
        <is>
          <t>Story</t>
        </is>
      </c>
      <c r="C5" s="29" t="inlineStr">
        <is>
          <t>Việc</t>
        </is>
      </c>
      <c r="D5" s="29" t="inlineStr">
        <is>
          <t>Artifact output</t>
        </is>
      </c>
      <c r="E5" s="29" t="inlineStr">
        <is>
          <t>Mở khoá (unblock)</t>
        </is>
      </c>
    </row>
    <row r="6">
      <c r="A6" s="30" t="inlineStr">
        <is>
          <t>1</t>
        </is>
      </c>
      <c r="B6" s="30" t="inlineStr">
        <is>
          <t>3R.1</t>
        </is>
      </c>
      <c r="C6" s="30" t="inlineStr">
        <is>
          <t>MPS Fragility Math Spec</t>
        </is>
      </c>
      <c r="D6" s="30" t="inlineStr">
        <is>
          <t>research/mps_fragility_model.md</t>
        </is>
      </c>
      <c r="E6" s="30" t="inlineStr">
        <is>
          <t>TOÀN BỘ Epic 3 (3A.1→...)</t>
        </is>
      </c>
    </row>
    <row r="7">
      <c r="A7" s="30" t="inlineStr">
        <is>
          <t>2</t>
        </is>
      </c>
      <c r="B7" s="30" t="inlineStr">
        <is>
          <t>2R.2</t>
        </is>
      </c>
      <c r="C7" s="30" t="inlineStr">
        <is>
          <t>Graph Topology Design</t>
        </is>
      </c>
      <c r="D7" s="30" t="inlineStr">
        <is>
          <t>research/graph_topology.md</t>
        </is>
      </c>
      <c r="E7" s="30" t="inlineStr">
        <is>
          <t>Tensor shape 2B.*</t>
        </is>
      </c>
    </row>
    <row r="8">
      <c r="A8" s="30" t="inlineStr">
        <is>
          <t>3</t>
        </is>
      </c>
      <c r="B8" s="30" t="inlineStr">
        <is>
          <t>2R.1</t>
        </is>
      </c>
      <c r="C8" s="30" t="inlineStr">
        <is>
          <t>Node Feature Catalog</t>
        </is>
      </c>
      <c r="D8" s="30" t="inlineStr">
        <is>
          <t>research/feature_catalog.md</t>
        </is>
      </c>
      <c r="E8" s="30" t="inlineStr">
        <is>
          <t>2B.2 Node Feature Tensor</t>
        </is>
      </c>
    </row>
    <row r="9">
      <c r="A9" s="30" t="inlineStr">
        <is>
          <t>4</t>
        </is>
      </c>
      <c r="B9" s="30" t="inlineStr">
        <is>
          <t>1R.2</t>
        </is>
      </c>
      <c r="C9" s="30" t="inlineStr">
        <is>
          <t>Schema ↔ ABI Reconciliation</t>
        </is>
      </c>
      <c r="D9" s="30" t="inlineStr">
        <is>
          <t>research/schema_abi_gap.md</t>
        </is>
      </c>
      <c r="E9" s="30" t="inlineStr">
        <is>
          <t>Decoder 1B.*</t>
        </is>
      </c>
    </row>
    <row r="10">
      <c r="A10" s="30" t="inlineStr">
        <is>
          <t>5</t>
        </is>
      </c>
      <c r="B10" s="30" t="inlineStr">
        <is>
          <t>4R.1</t>
        </is>
      </c>
      <c r="C10" s="30" t="inlineStr">
        <is>
          <t>Latency Budget E2E</t>
        </is>
      </c>
      <c r="D10" s="30" t="inlineStr">
        <is>
          <t>research/latency_budget.md</t>
        </is>
      </c>
      <c r="E10" s="30" t="inlineStr">
        <is>
          <t>Perf gate 3E.1 / 5.3 / 6.1</t>
        </is>
      </c>
    </row>
    <row r="12">
      <c r="A12" s="28" t="inlineStr">
        <is>
          <t>② Research song song (P1, không chặn nhánh code độc lập)</t>
        </is>
      </c>
    </row>
    <row r="13">
      <c r="A13" s="29" t="inlineStr">
        <is>
          <t>Story</t>
        </is>
      </c>
      <c r="B13" s="29" t="inlineStr">
        <is>
          <t>Việc</t>
        </is>
      </c>
      <c r="C13" s="29" t="inlineStr">
        <is>
          <t>Artifact</t>
        </is>
      </c>
    </row>
    <row r="14">
      <c r="A14" s="31" t="inlineStr">
        <is>
          <t>1R.1</t>
        </is>
      </c>
      <c r="B14" s="31" t="inlineStr">
        <is>
          <t>Data Source Assessment</t>
        </is>
      </c>
      <c r="C14" s="31" t="inlineStr">
        <is>
          <t>research/data_sources.md</t>
        </is>
      </c>
    </row>
    <row r="15">
      <c r="A15" s="31" t="inlineStr">
        <is>
          <t>1R.3</t>
        </is>
      </c>
      <c r="B15" s="31" t="inlineStr">
        <is>
          <t>Ground-Truth Labeling</t>
        </is>
      </c>
      <c r="C15" s="31" t="inlineStr">
        <is>
          <t>research/ground_truth_labeling.md</t>
        </is>
      </c>
    </row>
    <row r="16">
      <c r="A16" s="31" t="inlineStr">
        <is>
          <t>3R.2</t>
        </is>
      </c>
      <c r="B16" s="31" t="inlineStr">
        <is>
          <t>Literature Review</t>
        </is>
      </c>
      <c r="C16" s="31" t="inlineStr">
        <is>
          <t>research/literature_review.md</t>
        </is>
      </c>
    </row>
    <row r="17">
      <c r="A17" s="31" t="inlineStr">
        <is>
          <t>3R.3</t>
        </is>
      </c>
      <c r="B17" s="31" t="inlineStr">
        <is>
          <t>Naive Baseline Detector</t>
        </is>
      </c>
      <c r="C17" s="31" t="inlineStr">
        <is>
          <t>research/baseline_detector.md</t>
        </is>
      </c>
    </row>
    <row r="18">
      <c r="A18" s="31" t="inlineStr">
        <is>
          <t>4R.2</t>
        </is>
      </c>
      <c r="B18" s="31" t="inlineStr">
        <is>
          <t>IPC Spike</t>
        </is>
      </c>
      <c r="C18" s="31" t="inlineStr">
        <is>
          <t>research/ipc_decision.md</t>
        </is>
      </c>
    </row>
    <row r="19">
      <c r="A19" s="31" t="inlineStr">
        <is>
          <t>4R.3</t>
        </is>
      </c>
      <c r="B19" s="31" t="inlineStr">
        <is>
          <t>Failure Mode Analysis</t>
        </is>
      </c>
      <c r="C19" s="31" t="inlineStr">
        <is>
          <t>research/failure_modes.md</t>
        </is>
      </c>
    </row>
    <row r="20">
      <c r="A20" s="31" t="inlineStr">
        <is>
          <t>4R.4</t>
        </is>
      </c>
      <c r="B20" s="31" t="inlineStr">
        <is>
          <t>Data-Flow Diagram</t>
        </is>
      </c>
      <c r="C20" s="31" t="inlineStr">
        <is>
          <t>docs/data_flow.md</t>
        </is>
      </c>
    </row>
    <row r="22">
      <c r="A22" s="28" t="inlineStr">
        <is>
          <t>③ Kế hoạch theo Wave (thứ tự khuyến nghị)</t>
        </is>
      </c>
    </row>
    <row r="23">
      <c r="A23" s="29" t="inlineStr">
        <is>
          <t>Wave</t>
        </is>
      </c>
      <c r="B23" s="29" t="inlineStr">
        <is>
          <t>Giai đoạn</t>
        </is>
      </c>
      <c r="C23" s="29" t="inlineStr">
        <is>
          <t>Song song?</t>
        </is>
      </c>
      <c r="D23" s="29" t="inlineStr">
        <is>
          <t>Task chính</t>
        </is>
      </c>
      <c r="E23" s="29" t="inlineStr">
        <is>
          <t>Điều kiện bắt đầu / Gate ra</t>
        </is>
      </c>
    </row>
    <row r="24">
      <c r="A24" s="31" t="inlineStr">
        <is>
          <t>0</t>
        </is>
      </c>
      <c r="B24" s="31" t="inlineStr">
        <is>
          <t>Contracts &amp; Fixtures</t>
        </is>
      </c>
      <c r="C24" s="31" t="inlineStr">
        <is>
          <t>—</t>
        </is>
      </c>
      <c r="D24" s="31" t="inlineStr">
        <is>
          <t>0.1–0.5 (DONE)</t>
        </is>
      </c>
      <c r="E24" s="31" t="inlineStr">
        <is>
          <t>✅ Hoàn thành — mở khoá mọi thứ</t>
        </is>
      </c>
    </row>
    <row r="25">
      <c r="A25" s="31" t="inlineStr">
        <is>
          <t>1</t>
        </is>
      </c>
      <c r="B25" s="31" t="inlineStr">
        <is>
          <t>Research Sprint (P0)</t>
        </is>
      </c>
      <c r="C25" s="31" t="inlineStr">
        <is>
          <t>5 task song song</t>
        </is>
      </c>
      <c r="D25" s="31" t="inlineStr">
        <is>
          <t>3R.1, 2R.2, 2R.1, 1R.2, 4R.1</t>
        </is>
      </c>
      <c r="E25" s="31" t="inlineStr">
        <is>
          <t>Ngay sau Epic 0 → chốt blueprint math/data/arch</t>
        </is>
      </c>
    </row>
    <row r="26">
      <c r="A26" s="31" t="inlineStr">
        <is>
          <t>1b</t>
        </is>
      </c>
      <c r="B26" s="31" t="inlineStr">
        <is>
          <t>Research P1</t>
        </is>
      </c>
      <c r="C26" s="31" t="inlineStr">
        <is>
          <t>có</t>
        </is>
      </c>
      <c r="D26" s="31" t="inlineStr">
        <is>
          <t>1R.1, 1R.3, 3R.2, 3R.3, 4R.2, 4R.3, 4R.4</t>
        </is>
      </c>
      <c r="E26" s="31" t="inlineStr">
        <is>
          <t>Song song Wave 1/2, không chặn</t>
        </is>
      </c>
    </row>
    <row r="27">
      <c r="A27" s="31" t="inlineStr">
        <is>
          <t>2</t>
        </is>
      </c>
      <c r="B27" s="31" t="inlineStr">
        <is>
          <t>Foundation Build (mock)</t>
        </is>
      </c>
      <c r="C27" s="31" t="inlineStr">
        <is>
          <t>nhiều dev</t>
        </is>
      </c>
      <c r="D27" s="31" t="inlineStr">
        <is>
          <t>1A.1-1A.3, 1B.1-1B.3, 1C.1-1C.2, 1D.1-1D.2, 2A.1-2A.3, 2B.1-2B.2, 3A.1-3A.3, 5.1-5.2</t>
        </is>
      </c>
      <c r="E27" s="31" t="inlineStr">
        <is>
          <t>Mock WSS 0.5 + decision Wave 1</t>
        </is>
      </c>
    </row>
    <row r="28">
      <c r="A28" s="31" t="inlineStr">
        <is>
          <t>3</t>
        </is>
      </c>
      <c r="B28" s="31" t="inlineStr">
        <is>
          <t>Research-dependent Build</t>
        </is>
      </c>
      <c r="C28" s="31" t="inlineStr">
        <is>
          <t>có</t>
        </is>
      </c>
      <c r="D28" s="31" t="inlineStr">
        <is>
          <t>1A.4, 1B.4, 1C.4, 1D.3, 1E.1, 2A.4, 2B.3, 3A.4, 3B.*, 3C.*, 3D.*, 5.3</t>
        </is>
      </c>
      <c r="E28" s="31" t="inlineStr">
        <is>
          <t>Cần decision Wave 1 + foundation Wave 2</t>
        </is>
      </c>
    </row>
    <row r="29">
      <c r="A29" s="31" t="inlineStr">
        <is>
          <t>4</t>
        </is>
      </c>
      <c r="B29" s="31" t="inlineStr">
        <is>
          <t>MPS Optimization Gate</t>
        </is>
      </c>
      <c r="C29" s="31" t="inlineStr">
        <is>
          <t>—</t>
        </is>
      </c>
      <c r="D29" s="31" t="inlineStr">
        <is>
          <t>3E.1 (&lt;30ms), 3E.2</t>
        </is>
      </c>
      <c r="E29" s="31" t="inlineStr">
        <is>
          <t>Sau 3B/3C/3D</t>
        </is>
      </c>
    </row>
    <row r="30">
      <c r="A30" s="31" t="inlineStr">
        <is>
          <t>5</t>
        </is>
      </c>
      <c r="B30" s="31" t="inlineStr">
        <is>
          <t>Calibration &amp; Isolation</t>
        </is>
      </c>
      <c r="C30" s="31" t="inlineStr">
        <is>
          <t>2 nhánh</t>
        </is>
      </c>
      <c r="D30" s="31" t="inlineStr">
        <is>
          <t>4.1, 4.2 (research) · 4.3, 4.4 (build)</t>
        </is>
      </c>
      <c r="E30" s="31" t="inlineStr">
        <is>
          <t>Sau 3E + 1D.3; cần 1R.3, 3R.3</t>
        </is>
      </c>
    </row>
    <row r="31">
      <c r="A31" s="31" t="inlineStr">
        <is>
          <t>6</t>
        </is>
      </c>
      <c r="B31" s="31" t="inlineStr">
        <is>
          <t>E2E Verify &amp; Success Signal</t>
        </is>
      </c>
      <c r="C31" s="31" t="inlineStr">
        <is>
          <t>—</t>
        </is>
      </c>
      <c r="D31" s="31" t="inlineStr">
        <is>
          <t>6.1, 6.2, 6.3</t>
        </is>
      </c>
      <c r="E31" s="31" t="inlineStr">
        <is>
          <t>Sau Epic 4 + Epic 5</t>
        </is>
      </c>
    </row>
    <row r="33">
      <c r="A33" s="28" t="inlineStr">
        <is>
          <t>④ Critical Path (chuỗi dài nhất — quyết định tiến độ)</t>
        </is>
      </c>
    </row>
    <row r="34">
      <c r="A34" s="31" t="inlineStr">
        <is>
          <t>0.1/0.2/0.4 → 3R.1 (math spec) → 3A.1 (baseline) → 3B/3C/3D (optimize) → 3E (gate &lt;30ms) → 4.1/4.2 (calibrate) → 6.3 (Success Signal: RED ≥10ph trước liquidation)</t>
        </is>
      </c>
    </row>
    <row r="35">
      <c r="A35" s="31" t="inlineStr">
        <is>
          <t>→ Bảo vệ chuỗi này. Nút thắt = 3R.1: chưa có đặc tả toán thì cả Epic 3 chỉ là đoán.</t>
        </is>
      </c>
    </row>
  </sheetData>
  <mergeCells count="2">
    <mergeCell ref="A34:E34"/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40" customWidth="1" min="4" max="4"/>
    <col width="22" customWidth="1" min="5" max="5"/>
    <col width="10" customWidth="1" min="6" max="6"/>
    <col width="12" customWidth="1" min="7" max="7"/>
    <col width="16" customWidth="1" min="8" max="8"/>
    <col width="18" customWidth="1" min="9" max="9"/>
    <col width="55" customWidth="1" min="10" max="10"/>
    <col width="14" customWidth="1" min="11" max="11"/>
    <col width="14" customWidth="1" min="12" max="12"/>
    <col width="30" customWidth="1" min="13" max="13"/>
  </cols>
  <sheetData>
    <row r="1" ht="30" customHeight="1">
      <c r="A1" s="11" t="inlineStr">
        <is>
          <t>Story ID</t>
        </is>
      </c>
      <c r="B1" s="11" t="inlineStr">
        <is>
          <t>Epic</t>
        </is>
      </c>
      <c r="C1" s="11" t="inlineStr">
        <is>
          <t>Track</t>
        </is>
      </c>
      <c r="D1" s="11" t="inlineStr">
        <is>
          <t>Title</t>
        </is>
      </c>
      <c r="E1" s="11" t="inlineStr">
        <is>
          <t>Owner Role</t>
        </is>
      </c>
      <c r="F1" s="11" t="inlineStr">
        <is>
          <t>Priority</t>
        </is>
      </c>
      <c r="G1" s="11" t="inlineStr">
        <is>
          <t>Sprint</t>
        </is>
      </c>
      <c r="H1" s="11" t="inlineStr">
        <is>
          <t>Status</t>
        </is>
      </c>
      <c r="I1" s="11" t="inlineStr">
        <is>
          <t>Depends On</t>
        </is>
      </c>
      <c r="J1" s="11" t="inlineStr">
        <is>
          <t>AC Summary</t>
        </is>
      </c>
      <c r="K1" s="11" t="inlineStr">
        <is>
          <t>Started</t>
        </is>
      </c>
      <c r="L1" s="11" t="inlineStr">
        <is>
          <t>Completed</t>
        </is>
      </c>
      <c r="M1" s="11" t="inlineStr">
        <is>
          <t>Blocker Notes</t>
        </is>
      </c>
    </row>
    <row r="2">
      <c r="A2" s="12" t="inlineStr">
        <is>
          <t>0.1</t>
        </is>
      </c>
      <c r="B2" s="13" t="inlineStr">
        <is>
          <t>Epic 0</t>
        </is>
      </c>
      <c r="C2" s="13" t="inlineStr">
        <is>
          <t>Contracts</t>
        </is>
      </c>
      <c r="D2" s="22" t="inlineStr">
        <is>
          <t>Định nghĩa JSON Schema cho Tick-Data</t>
        </is>
      </c>
      <c r="E2" s="13" t="inlineStr">
        <is>
          <t>Architect</t>
        </is>
      </c>
      <c r="F2" s="13" t="inlineStr">
        <is>
          <t>P0</t>
        </is>
      </c>
      <c r="G2" s="13" t="inlineStr">
        <is>
          <t>Sprint 1</t>
        </is>
      </c>
      <c r="H2" s="13" t="inlineStr">
        <is>
          <t>done</t>
        </is>
      </c>
      <c r="I2" s="22" t="inlineStr">
        <is>
          <t>-</t>
        </is>
      </c>
      <c r="J2" s="22" t="inlineStr">
        <is>
          <t>Viết file tick_data.schema.json (JSON Schema Draft 2020-12) với các trường bắt buộc: block_number (int), tx_hash (hex 66 ký tự), log_index (int), timestamp (ISO 8601 UTC), protocol (uniswap_v3|aave_v3), event_type (swap|mint|burn|borrow|supply|withdraw|liquidation), pool_address (hex 42), token_in, token_out, amount_in, amount_out (Decimal string). Kèm 3 unit test: (a) sample hợp lệ pass, (b) thiếu block_number fail, (c) timestamp sai format fail. Commit file schema vào core/schemas/.</t>
        </is>
      </c>
      <c r="K2" s="13" t="inlineStr"/>
      <c r="L2" s="13" t="inlineStr"/>
      <c r="M2" s="22" t="inlineStr"/>
    </row>
    <row r="3">
      <c r="A3" s="12" t="inlineStr">
        <is>
          <t>0.2</t>
        </is>
      </c>
      <c r="B3" s="13" t="inlineStr">
        <is>
          <t>Epic 0</t>
        </is>
      </c>
      <c r="C3" s="13" t="inlineStr">
        <is>
          <t>Contracts</t>
        </is>
      </c>
      <c r="D3" s="22" t="inlineStr">
        <is>
          <t>Định nghĩa JSON Schema cho Graph Snapshot</t>
        </is>
      </c>
      <c r="E3" s="13" t="inlineStr">
        <is>
          <t>AI Lead</t>
        </is>
      </c>
      <c r="F3" s="13" t="inlineStr">
        <is>
          <t>P0</t>
        </is>
      </c>
      <c r="G3" s="13" t="inlineStr">
        <is>
          <t>Sprint 1</t>
        </is>
      </c>
      <c r="H3" s="13" t="inlineStr">
        <is>
          <t>done</t>
        </is>
      </c>
      <c r="I3" s="22" t="inlineStr">
        <is>
          <t>-</t>
        </is>
      </c>
      <c r="J3" s="22" t="inlineStr">
        <is>
          <t>Viết graph_snapshot.schema.json mô tả cấu trúc đồ thị: nodes[] (id, type: protocol|pool|token, features {tvl, volume_24h, price, volatility, connectivity}), edges[] (source, target, type: liquidity_flow|borrow_position|shared_collateral, weight float 0-1, metadata). Kèm 1 file example graph_example.json có 10 nodes + 15 edges và unit test validate ok.</t>
        </is>
      </c>
      <c r="K3" s="13" t="inlineStr"/>
      <c r="L3" s="13" t="inlineStr"/>
      <c r="M3" s="22" t="inlineStr"/>
    </row>
    <row r="4">
      <c r="A4" s="12" t="inlineStr">
        <is>
          <t>0.3</t>
        </is>
      </c>
      <c r="B4" s="13" t="inlineStr">
        <is>
          <t>Epic 0</t>
        </is>
      </c>
      <c r="C4" s="13" t="inlineStr">
        <is>
          <t>Contracts</t>
        </is>
      </c>
      <c r="D4" s="22" t="inlineStr">
        <is>
          <t>Định nghĩa JSON Schema cho Fragility Payload (Webhook)</t>
        </is>
      </c>
      <c r="E4" s="13" t="inlineStr">
        <is>
          <t>Backend Lead</t>
        </is>
      </c>
      <c r="F4" s="13" t="inlineStr">
        <is>
          <t>P0</t>
        </is>
      </c>
      <c r="G4" s="13" t="inlineStr">
        <is>
          <t>Sprint 1</t>
        </is>
      </c>
      <c r="H4" s="13" t="inlineStr">
        <is>
          <t>done</t>
        </is>
      </c>
      <c r="I4" s="22" t="inlineStr">
        <is>
          <t>-</t>
        </is>
      </c>
      <c r="J4" s="22" t="inlineStr">
        <is>
          <t>Viết fragility_payload.schema.json enforce đúng 4 trường theo SPEC FR5: timestamp (ISO 8601 UTC), fragility_score (float 0-100, 2 chữ số thập phân), alert_level (yellow|red), trigger_protocols (array ≥1 string). Contract test: reject payload thiếu field, reject score &gt; 100, reject alert_level lạ. Sinh sample payload_yellow.json, payload_red.json.</t>
        </is>
      </c>
      <c r="K4" s="13" t="inlineStr"/>
      <c r="L4" s="13" t="inlineStr"/>
      <c r="M4" s="22" t="inlineStr"/>
    </row>
    <row r="5">
      <c r="A5" s="12" t="inlineStr">
        <is>
          <t>0.4</t>
        </is>
      </c>
      <c r="B5" s="13" t="inlineStr">
        <is>
          <t>Epic 0</t>
        </is>
      </c>
      <c r="C5" s="13" t="inlineStr">
        <is>
          <t>Contracts</t>
        </is>
      </c>
      <c r="D5" s="22" t="inlineStr">
        <is>
          <t>Tạo bộ Fixtures Backtest lịch sử</t>
        </is>
      </c>
      <c r="E5" s="13" t="inlineStr">
        <is>
          <t>Data Analyst</t>
        </is>
      </c>
      <c r="F5" s="13" t="inlineStr">
        <is>
          <t>P0</t>
        </is>
      </c>
      <c r="G5" s="13" t="inlineStr">
        <is>
          <t>Sprint 1</t>
        </is>
      </c>
      <c r="H5" s="13" t="inlineStr">
        <is>
          <t>done</t>
        </is>
      </c>
      <c r="I5" s="22" t="inlineStr">
        <is>
          <t>-</t>
        </is>
      </c>
      <c r="J5" s="22" t="inlineStr">
        <is>
          <t>Chuẩn bị 3 file CSV trong fixtures/historical/: (1) luna_ust_2022-05-07_to_2022-05-12.csv (≥5000 events), (2) ftx_2022-11-06_to_2022-11-11.csv (≥5000 events), (3) normal_market_2024-01.csv (≥1000 events control). Mỗi row đúng schema 0.1. Kèm README ghi nguồn (Etherscan/Dune query id), timestamp range, count. Verify parse được bằng pandas.</t>
        </is>
      </c>
      <c r="K5" s="13" t="inlineStr"/>
      <c r="L5" s="13" t="inlineStr"/>
      <c r="M5" s="22" t="inlineStr"/>
    </row>
    <row r="6">
      <c r="A6" s="12" t="inlineStr">
        <is>
          <t>0.5</t>
        </is>
      </c>
      <c r="B6" s="13" t="inlineStr">
        <is>
          <t>Epic 0</t>
        </is>
      </c>
      <c r="C6" s="13" t="inlineStr">
        <is>
          <t>Contracts</t>
        </is>
      </c>
      <c r="D6" s="22" t="inlineStr">
        <is>
          <t>Xây Mock WebSocket Server cho dev/CI</t>
        </is>
      </c>
      <c r="E6" s="13" t="inlineStr">
        <is>
          <t>Data Engineer 1</t>
        </is>
      </c>
      <c r="F6" s="13" t="inlineStr">
        <is>
          <t>P0</t>
        </is>
      </c>
      <c r="G6" s="13" t="inlineStr">
        <is>
          <t>Sprint 1</t>
        </is>
      </c>
      <c r="H6" s="13" t="inlineStr">
        <is>
          <t>done</t>
        </is>
      </c>
      <c r="I6" s="22" t="inlineStr">
        <is>
          <t>0.1, 0.4</t>
        </is>
      </c>
      <c r="J6" s="22" t="inlineStr">
        <is>
          <t>Viết tools/mock_ws_server.py chạy tại ws://localhost:8546, replay fixtures 0.4 theo format Ethereum newHeads subscription. Hỗ trợ query param ?speed=1x|10x|100x|asap và ?scenario=luna|ftx|normal. Có health-check endpoint /health. Docker-compose service để CI dùng. Unit test: client connect + nhận ≥100 msg trong 5s ở speed=100x.</t>
        </is>
      </c>
      <c r="K6" s="13" t="inlineStr"/>
      <c r="L6" s="13" t="inlineStr"/>
      <c r="M6" s="22" t="inlineStr"/>
    </row>
    <row r="7">
      <c r="A7" s="12" t="inlineStr">
        <is>
          <t>1R.1</t>
        </is>
      </c>
      <c r="B7" s="13" t="inlineStr">
        <is>
          <t>Epic 1</t>
        </is>
      </c>
      <c r="C7" s="13" t="inlineStr">
        <is>
          <t>1R Research</t>
        </is>
      </c>
      <c r="D7" s="22" t="inlineStr">
        <is>
          <t>Đánh giá nguồn dữ liệu (Etherscan/Dune/Alchemy)</t>
        </is>
      </c>
      <c r="E7" s="13" t="inlineStr">
        <is>
          <t>Data Analyst</t>
        </is>
      </c>
      <c r="F7" s="13" t="inlineStr">
        <is>
          <t>P1</t>
        </is>
      </c>
      <c r="G7" s="13" t="inlineStr">
        <is>
          <t>Sprint 2</t>
        </is>
      </c>
      <c r="H7" s="13" t="inlineStr">
        <is>
          <t>backlog</t>
        </is>
      </c>
      <c r="I7" s="22" t="inlineStr">
        <is>
          <t>0.4</t>
        </is>
      </c>
      <c r="J7" s="22" t="inlineStr">
        <is>
          <t>[RESEARCH] So sánh Etherscan/Dune/Alchemy: rate limit, chi phí/tháng, độ sâu archival, hỗ trợ WSS. Chốt nguồn primary+fallback → research/data_sources.md; xác nhận lấy được block-range LUNA/FTX.</t>
        </is>
      </c>
      <c r="K7" s="13" t="n"/>
      <c r="L7" s="13" t="n"/>
      <c r="M7" s="22" t="n"/>
    </row>
    <row r="8">
      <c r="A8" s="12" t="inlineStr">
        <is>
          <t>1R.2</t>
        </is>
      </c>
      <c r="B8" s="13" t="inlineStr">
        <is>
          <t>Epic 1</t>
        </is>
      </c>
      <c r="C8" s="13" t="inlineStr">
        <is>
          <t>1R Research</t>
        </is>
      </c>
      <c r="D8" s="22" t="inlineStr">
        <is>
          <t>Đối chiếu Event Schema ↔ ABI thật</t>
        </is>
      </c>
      <c r="E8" s="13" t="inlineStr">
        <is>
          <t>Data Engineer 2</t>
        </is>
      </c>
      <c r="F8" s="13" t="inlineStr">
        <is>
          <t>P0</t>
        </is>
      </c>
      <c r="G8" s="13" t="inlineStr">
        <is>
          <t>Sprint 2</t>
        </is>
      </c>
      <c r="H8" s="13" t="inlineStr">
        <is>
          <t>ready-for-dev</t>
        </is>
      </c>
      <c r="I8" s="22" t="inlineStr">
        <is>
          <t>0.1</t>
        </is>
      </c>
      <c r="J8" s="22" t="inlineStr">
        <is>
          <t>[RESEARCH] Map từng event Uniswap V3 (Swap/Mint/Burn)+Aave V3 (Borrow/Supply/Withdraw/LiquidationCall) từ ABI chính thức sang tick_data.schema.json. Liệt kê field khớp/thiếu/cần thêm → research/schema_abi_gap.md. Đề xuất vá schema 0.1. CHẶN decoder 1B.</t>
        </is>
      </c>
      <c r="K8" s="13" t="n"/>
      <c r="L8" s="13" t="n"/>
      <c r="M8" s="22" t="n"/>
    </row>
    <row r="9">
      <c r="A9" s="12" t="inlineStr">
        <is>
          <t>1R.3</t>
        </is>
      </c>
      <c r="B9" s="13" t="inlineStr">
        <is>
          <t>Epic 1</t>
        </is>
      </c>
      <c r="C9" s="13" t="inlineStr">
        <is>
          <t>1R Research</t>
        </is>
      </c>
      <c r="D9" s="22" t="inlineStr">
        <is>
          <t>Phương pháp gán nhãn Ground-Truth LUNA/FTX</t>
        </is>
      </c>
      <c r="E9" s="13" t="inlineStr">
        <is>
          <t>Quants</t>
        </is>
      </c>
      <c r="F9" s="13" t="inlineStr">
        <is>
          <t>P1</t>
        </is>
      </c>
      <c r="G9" s="13" t="inlineStr">
        <is>
          <t>Sprint 2</t>
        </is>
      </c>
      <c r="H9" s="13" t="inlineStr">
        <is>
          <t>backlog</t>
        </is>
      </c>
      <c r="I9" s="22" t="inlineStr">
        <is>
          <t>0.4</t>
        </is>
      </c>
      <c r="J9" s="22" t="inlineStr">
        <is>
          <t>[RESEARCH] Định nghĩa tiêu chí 'cascade bắt đầu' &amp; 'RED deadline' cho LUNA (2022-05) &amp; FTX (2022-11) từ on-chain + tường thuật → research/ground_truth_labeling.md, đối chiếu fixtures README. CHẶN Epic 4 verify.</t>
        </is>
      </c>
      <c r="K9" s="13" t="n"/>
      <c r="L9" s="13" t="n"/>
      <c r="M9" s="22" t="n"/>
    </row>
    <row r="10">
      <c r="A10" s="12" t="inlineStr">
        <is>
          <t>1A.1</t>
        </is>
      </c>
      <c r="B10" s="13" t="inlineStr">
        <is>
          <t>Epic 1</t>
        </is>
      </c>
      <c r="C10" s="13" t="inlineStr">
        <is>
          <t>1A Realtime WS</t>
        </is>
      </c>
      <c r="D10" s="22" t="inlineStr">
        <is>
          <t>Nạp cấu hình môi trường &amp; secrets</t>
        </is>
      </c>
      <c r="E10" s="13" t="inlineStr">
        <is>
          <t>Data Engineer 1</t>
        </is>
      </c>
      <c r="F10" s="13" t="inlineStr">
        <is>
          <t>P1</t>
        </is>
      </c>
      <c r="G10" s="13" t="inlineStr">
        <is>
          <t>Sprint 2</t>
        </is>
      </c>
      <c r="H10" s="13" t="inlineStr">
        <is>
          <t>backlog</t>
        </is>
      </c>
      <c r="I10" s="22" t="inlineStr">
        <is>
          <t>0.1</t>
        </is>
      </c>
      <c r="J10" s="22" t="inlineStr">
        <is>
          <t>Tạo ingestion/config.py với Pydantic BaseSettings đọc từ .env: ALCHEMY_WSS_URL, INFURA_WSS_URL (fallback), CHAIN_ID (mặc định 1), RECONNECT_MAX_TRIES=7, BUFFER_SIZE=10, LOG_LEVEL=INFO. Tạo IngestionConfig dataclass typed. Nếu thiếu biến bắt buộc → raise ConfigError với message rõ ràng. Cung cấp .env.example. Unit test: load ok, thiếu URL raise, URL sai scheme raise.</t>
        </is>
      </c>
      <c r="K10" s="13" t="inlineStr"/>
      <c r="L10" s="13" t="inlineStr"/>
      <c r="M10" s="22" t="inlineStr"/>
    </row>
    <row r="11">
      <c r="A11" s="12" t="inlineStr">
        <is>
          <t>1A.2</t>
        </is>
      </c>
      <c r="B11" s="13" t="inlineStr">
        <is>
          <t>Epic 1</t>
        </is>
      </c>
      <c r="C11" s="13" t="inlineStr">
        <is>
          <t>1A Realtime WS</t>
        </is>
      </c>
      <c r="D11" s="22" t="inlineStr">
        <is>
          <t>Wrapper AsyncWeb3 Client</t>
        </is>
      </c>
      <c r="E11" s="13" t="inlineStr">
        <is>
          <t>Data Engineer 1</t>
        </is>
      </c>
      <c r="F11" s="13" t="inlineStr">
        <is>
          <t>P1</t>
        </is>
      </c>
      <c r="G11" s="13" t="inlineStr">
        <is>
          <t>Sprint 2</t>
        </is>
      </c>
      <c r="H11" s="13" t="inlineStr">
        <is>
          <t>backlog</t>
        </is>
      </c>
      <c r="I11" s="22" t="inlineStr">
        <is>
          <t>1A.1</t>
        </is>
      </c>
      <c r="J11" s="22" t="inlineStr">
        <is>
          <t>Viết ingestion/web3_client.py bọc web3.AsyncWeb3 với WebSocketProvider. Expose method async connect(), disconnect(), is_connected. Timeout connect ≤ 3 giây, raise ConnectionTimeout nếu quá. Logging INFO khi connect thành công (endpoint, chain_id). Unit test dùng aioresponses hoặc mock_ws_server (0.5): connect ok, timeout, disconnect sạch.</t>
        </is>
      </c>
      <c r="K11" s="13" t="inlineStr"/>
      <c r="L11" s="13" t="inlineStr"/>
      <c r="M11" s="22" t="inlineStr"/>
    </row>
    <row r="12">
      <c r="A12" s="12" t="inlineStr">
        <is>
          <t>1A.3</t>
        </is>
      </c>
      <c r="B12" s="13" t="inlineStr">
        <is>
          <t>Epic 1</t>
        </is>
      </c>
      <c r="C12" s="13" t="inlineStr">
        <is>
          <t>1A Realtime WS</t>
        </is>
      </c>
      <c r="D12" s="22" t="inlineStr">
        <is>
          <t>Reconnector Exponential Backoff</t>
        </is>
      </c>
      <c r="E12" s="13" t="inlineStr">
        <is>
          <t>Data Engineer 1</t>
        </is>
      </c>
      <c r="F12" s="13" t="inlineStr">
        <is>
          <t>P1</t>
        </is>
      </c>
      <c r="G12" s="13" t="inlineStr">
        <is>
          <t>Sprint 2</t>
        </is>
      </c>
      <c r="H12" s="13" t="inlineStr">
        <is>
          <t>backlog</t>
        </is>
      </c>
      <c r="I12" s="22" t="inlineStr">
        <is>
          <t>1A.2</t>
        </is>
      </c>
      <c r="J12" s="22" t="inlineStr">
        <is>
          <t>Thêm decorator @with_retry_backoff cho web3_client. Chuỗi delay 0.5→1→2→4→8→16→30s (max 7 lần). Sau lần 7 raise MaxRetriesExceeded. Structured log JSON mỗi lần retry: {attempt, delay, error_type, error_msg}. Unit test: kill mock server giữa chừng → client reconnect đúng số lần và tiếp tục nhận block.</t>
        </is>
      </c>
      <c r="K12" s="13" t="inlineStr"/>
      <c r="L12" s="13" t="inlineStr"/>
      <c r="M12" s="22" t="inlineStr"/>
    </row>
    <row r="13">
      <c r="A13" s="12" t="inlineStr">
        <is>
          <t>1A.4</t>
        </is>
      </c>
      <c r="B13" s="13" t="inlineStr">
        <is>
          <t>Epic 1</t>
        </is>
      </c>
      <c r="C13" s="13" t="inlineStr">
        <is>
          <t>1A Realtime WS</t>
        </is>
      </c>
      <c r="D13" s="22" t="inlineStr">
        <is>
          <t>Subscribe newHeads → async generator</t>
        </is>
      </c>
      <c r="E13" s="13" t="inlineStr">
        <is>
          <t>Data Engineer 1</t>
        </is>
      </c>
      <c r="F13" s="13" t="inlineStr">
        <is>
          <t>P1</t>
        </is>
      </c>
      <c r="G13" s="13" t="inlineStr">
        <is>
          <t>Sprint 2</t>
        </is>
      </c>
      <c r="H13" s="13" t="inlineStr">
        <is>
          <t>backlog</t>
        </is>
      </c>
      <c r="I13" s="22" t="inlineStr">
        <is>
          <t>1A.3, 0.5</t>
        </is>
      </c>
      <c r="J13" s="22" t="inlineStr">
        <is>
          <t>Method subscribe_new_heads() trả về async generator yield BlockHeader dict. Log DEBUG mỗi block (number, hash, timestamp, drift_ms = now - block.timestamp*1000). Assertion: block_number tăng monotonic. Test integration với mock_ws_server ở speed=1x trong 60s: drift trung bình &lt; 100ms, không mất block.</t>
        </is>
      </c>
      <c r="K13" s="13" t="inlineStr"/>
      <c r="L13" s="13" t="inlineStr"/>
      <c r="M13" s="22" t="inlineStr"/>
    </row>
    <row r="14">
      <c r="A14" s="12" t="inlineStr">
        <is>
          <t>1A.5</t>
        </is>
      </c>
      <c r="B14" s="13" t="inlineStr">
        <is>
          <t>Epic 1</t>
        </is>
      </c>
      <c r="C14" s="13" t="inlineStr">
        <is>
          <t>1A Realtime WS</t>
        </is>
      </c>
      <c r="D14" s="22" t="inlineStr">
        <is>
          <t>Heartbeat + Prometheus metrics</t>
        </is>
      </c>
      <c r="E14" s="13" t="inlineStr">
        <is>
          <t>Data Engineer 1</t>
        </is>
      </c>
      <c r="F14" s="13" t="inlineStr">
        <is>
          <t>P2</t>
        </is>
      </c>
      <c r="G14" s="13" t="inlineStr">
        <is>
          <t>Sprint 3</t>
        </is>
      </c>
      <c r="H14" s="13" t="inlineStr">
        <is>
          <t>backlog</t>
        </is>
      </c>
      <c r="I14" s="22" t="inlineStr">
        <is>
          <t>1A.4</t>
        </is>
      </c>
      <c r="J14" s="22" t="inlineStr">
        <is>
          <t>Expose /metrics endpoint (FastAPI mini app port 9101) với: ws_connected (gauge), ws_reconnects_total (counter), blocks_received_total (counter), block_drift_ms (histogram), last_block_seen_ts (gauge). Alert rule PromQL: nếu now - last_block_seen_ts &gt; 15s → firing. Test: force stop mock server 20s, verify metric last_block_seen_ts đứng yên và có thể trigger alert.</t>
        </is>
      </c>
      <c r="K14" s="13" t="inlineStr"/>
      <c r="L14" s="13" t="inlineStr"/>
      <c r="M14" s="22" t="inlineStr"/>
    </row>
    <row r="15">
      <c r="A15" s="12" t="inlineStr">
        <is>
          <t>1B.1</t>
        </is>
      </c>
      <c r="B15" s="13" t="inlineStr">
        <is>
          <t>Epic 1</t>
        </is>
      </c>
      <c r="C15" s="13" t="inlineStr">
        <is>
          <t>1B Event Decoding</t>
        </is>
      </c>
      <c r="D15" s="22" t="inlineStr">
        <is>
          <t>Decode sự kiện Uniswap V3</t>
        </is>
      </c>
      <c r="E15" s="13" t="inlineStr">
        <is>
          <t>Data Engineer 2</t>
        </is>
      </c>
      <c r="F15" s="13" t="inlineStr">
        <is>
          <t>P1</t>
        </is>
      </c>
      <c r="G15" s="13" t="inlineStr">
        <is>
          <t>Sprint 2</t>
        </is>
      </c>
      <c r="H15" s="13" t="inlineStr">
        <is>
          <t>backlog</t>
        </is>
      </c>
      <c r="I15" s="22" t="inlineStr">
        <is>
          <t>0.1</t>
        </is>
      </c>
      <c r="J15" s="22" t="inlineStr">
        <is>
          <t>Viết ingestion/decoders/uniswap_v3.py decode log raw thành Python dict theo schema 0.1. Xử lý 3 topic: Swap (0xc42079…), Mint (0x7a53080b…), Burn (0x0c396cd9…). Dùng ABI JSON commit trong repo. Test với 5 log thật từ mainnet (đã lưu snapshot JSON): output khớp field-by-field. Nếu decode fail → raise DecodeError, không crash.</t>
        </is>
      </c>
      <c r="K15" s="13" t="inlineStr"/>
      <c r="L15" s="13" t="inlineStr"/>
      <c r="M15" s="22" t="inlineStr"/>
    </row>
    <row r="16">
      <c r="A16" s="12" t="inlineStr">
        <is>
          <t>1B.2</t>
        </is>
      </c>
      <c r="B16" s="13" t="inlineStr">
        <is>
          <t>Epic 1</t>
        </is>
      </c>
      <c r="C16" s="13" t="inlineStr">
        <is>
          <t>1B Event Decoding</t>
        </is>
      </c>
      <c r="D16" s="22" t="inlineStr">
        <is>
          <t>Decode sự kiện Aave V3</t>
        </is>
      </c>
      <c r="E16" s="13" t="inlineStr">
        <is>
          <t>Data Engineer 2</t>
        </is>
      </c>
      <c r="F16" s="13" t="inlineStr">
        <is>
          <t>P1</t>
        </is>
      </c>
      <c r="G16" s="13" t="inlineStr">
        <is>
          <t>Sprint 2</t>
        </is>
      </c>
      <c r="H16" s="13" t="inlineStr">
        <is>
          <t>backlog</t>
        </is>
      </c>
      <c r="I16" s="22" t="inlineStr">
        <is>
          <t>0.1</t>
        </is>
      </c>
      <c r="J16" s="22" t="inlineStr">
        <is>
          <t>Viết ingestion/decoders/aave_v3.py decode Borrow, Supply, Withdraw, LiquidationCall theo ABI Aave V3 Pool contract (0x87870Bca…). Chuyển raw uint256 amount về Decimal đúng số thập phân của token. Test với 5 log mainnet snapshot: khớp field. Xử lý cả trường hợp reserve token có 6 decimals (USDC) và 18 decimals (WETH).</t>
        </is>
      </c>
      <c r="K16" s="13" t="inlineStr"/>
      <c r="L16" s="13" t="inlineStr"/>
      <c r="M16" s="22" t="inlineStr"/>
    </row>
    <row r="17">
      <c r="A17" s="12" t="inlineStr">
        <is>
          <t>1B.3</t>
        </is>
      </c>
      <c r="B17" s="13" t="inlineStr">
        <is>
          <t>Epic 1</t>
        </is>
      </c>
      <c r="C17" s="13" t="inlineStr">
        <is>
          <t>1B Event Decoding</t>
        </is>
      </c>
      <c r="D17" s="22" t="inlineStr">
        <is>
          <t>Whitelist địa chỉ contract</t>
        </is>
      </c>
      <c r="E17" s="13" t="inlineStr">
        <is>
          <t>Data Engineer 2</t>
        </is>
      </c>
      <c r="F17" s="13" t="inlineStr">
        <is>
          <t>P1</t>
        </is>
      </c>
      <c r="G17" s="13" t="inlineStr">
        <is>
          <t>Sprint 2</t>
        </is>
      </c>
      <c r="H17" s="13" t="inlineStr">
        <is>
          <t>backlog</t>
        </is>
      </c>
      <c r="I17" s="22" t="inlineStr">
        <is>
          <t>0.1</t>
        </is>
      </c>
      <c r="J17" s="22" t="inlineStr">
        <is>
          <t>Tạo config/contracts_whitelist.yaml chứa 3-5 pool Uniswap V3 (USDC/ETH, WBTC/ETH, USDT/ETH) + Aave V3 Pool. Mỗi entry: address (checksum), protocol, pool_name, base_token, quote_token, deployed_block. Loader validate checksum bằng eth_utils.to_checksum_address(). Unit test: file load ok, address sai checksum raise, empty file raise.</t>
        </is>
      </c>
      <c r="K17" s="13" t="inlineStr"/>
      <c r="L17" s="13" t="inlineStr"/>
      <c r="M17" s="22" t="inlineStr"/>
    </row>
    <row r="18">
      <c r="A18" s="12" t="inlineStr">
        <is>
          <t>1B.4</t>
        </is>
      </c>
      <c r="B18" s="13" t="inlineStr">
        <is>
          <t>Epic 1</t>
        </is>
      </c>
      <c r="C18" s="13" t="inlineStr">
        <is>
          <t>1B Event Decoding</t>
        </is>
      </c>
      <c r="D18" s="22" t="inlineStr">
        <is>
          <t>Router &amp; Normalizer sự kiện</t>
        </is>
      </c>
      <c r="E18" s="13" t="inlineStr">
        <is>
          <t>Data Engineer 2</t>
        </is>
      </c>
      <c r="F18" s="13" t="inlineStr">
        <is>
          <t>P1</t>
        </is>
      </c>
      <c r="G18" s="13" t="inlineStr">
        <is>
          <t>Sprint 3</t>
        </is>
      </c>
      <c r="H18" s="13" t="inlineStr">
        <is>
          <t>backlog</t>
        </is>
      </c>
      <c r="I18" s="22" t="inlineStr">
        <is>
          <t>1B.1, 1B.2, 1B.3</t>
        </is>
      </c>
      <c r="J18" s="22" t="inlineStr">
        <is>
          <t>Viết ingestion/router.py nhận raw log, kiểm tra address có trong whitelist không, chọn decoder (Uniswap|Aave) theo protocol, gọi decode, produce TickDataEvent (dataclass tuân schema 0.1). Log không whitelist → drop (log DEBUG, tăng counter events_dropped). Test: feed 100 log hỗn hợp → đúng số output, đúng phân loại, không leak log ngoài whitelist.</t>
        </is>
      </c>
      <c r="K18" s="13" t="inlineStr"/>
      <c r="L18" s="13" t="inlineStr"/>
      <c r="M18" s="22" t="inlineStr"/>
    </row>
    <row r="19">
      <c r="A19" s="12" t="inlineStr">
        <is>
          <t>1C.1</t>
        </is>
      </c>
      <c r="B19" s="13" t="inlineStr">
        <is>
          <t>Epic 1</t>
        </is>
      </c>
      <c r="C19" s="13" t="inlineStr">
        <is>
          <t>1C Ring Buffer</t>
        </is>
      </c>
      <c r="D19" s="22" t="inlineStr">
        <is>
          <t>Interface trừu tượng Ring Buffer</t>
        </is>
      </c>
      <c r="E19" s="13" t="inlineStr">
        <is>
          <t>Data Engineer 3</t>
        </is>
      </c>
      <c r="F19" s="13" t="inlineStr">
        <is>
          <t>P1</t>
        </is>
      </c>
      <c r="G19" s="13" t="inlineStr">
        <is>
          <t>Sprint 2</t>
        </is>
      </c>
      <c r="H19" s="13" t="inlineStr">
        <is>
          <t>backlog</t>
        </is>
      </c>
      <c r="I19" s="22" t="inlineStr">
        <is>
          <t>0.1</t>
        </is>
      </c>
      <c r="J19" s="22" t="inlineStr">
        <is>
          <t>Viết core/ring_buffer/base.py với abstract class RingBuffer[T]: push(item), snapshot() -&gt; list[T], __len__, capacity, is_full. Docstring nêu bất biến: FIFO drop-oldest, thread-unsafe by default, in-memory only. Test contract: fill vượt capacity → drop từ đầu, snapshot trả về list đúng thứ tự chèn.</t>
        </is>
      </c>
      <c r="K19" s="13" t="inlineStr"/>
      <c r="L19" s="13" t="inlineStr"/>
      <c r="M19" s="22" t="inlineStr"/>
    </row>
    <row r="20">
      <c r="A20" s="12" t="inlineStr">
        <is>
          <t>1C.2</t>
        </is>
      </c>
      <c r="B20" s="13" t="inlineStr">
        <is>
          <t>Epic 1</t>
        </is>
      </c>
      <c r="C20" s="13" t="inlineStr">
        <is>
          <t>1C Ring Buffer</t>
        </is>
      </c>
      <c r="D20" s="22" t="inlineStr">
        <is>
          <t>Cài đặt Ring Buffer bằng collections.deque</t>
        </is>
      </c>
      <c r="E20" s="13" t="inlineStr">
        <is>
          <t>Data Engineer 3</t>
        </is>
      </c>
      <c r="F20" s="13" t="inlineStr">
        <is>
          <t>P1</t>
        </is>
      </c>
      <c r="G20" s="13" t="inlineStr">
        <is>
          <t>Sprint 2</t>
        </is>
      </c>
      <c r="H20" s="13" t="inlineStr">
        <is>
          <t>backlog</t>
        </is>
      </c>
      <c r="I20" s="22" t="inlineStr">
        <is>
          <t>1C.1</t>
        </is>
      </c>
      <c r="J20" s="22" t="inlineStr">
        <is>
          <t>Viết DequeRingBuffer(RingBuffer) dùng collections.deque(maxlen=capacity). Benchmark micro với pytest-benchmark: push &lt; 1μs/op ở capacity=10 trên MacBook M-series. Test: push 1000 item → chỉ giữ 10 cuối, thứ tự đúng. Verify không tạo memory leak sau 10^6 push (memory_profiler).</t>
        </is>
      </c>
      <c r="K20" s="13" t="inlineStr"/>
      <c r="L20" s="13" t="inlineStr"/>
      <c r="M20" s="22" t="inlineStr"/>
    </row>
    <row r="21">
      <c r="A21" s="12" t="inlineStr">
        <is>
          <t>1C.3</t>
        </is>
      </c>
      <c r="B21" s="13" t="inlineStr">
        <is>
          <t>Epic 1</t>
        </is>
      </c>
      <c r="C21" s="13" t="inlineStr">
        <is>
          <t>1C Ring Buffer</t>
        </is>
      </c>
      <c r="D21" s="22" t="inlineStr">
        <is>
          <t>Variant Numpy static array</t>
        </is>
      </c>
      <c r="E21" s="13" t="inlineStr">
        <is>
          <t>Data Engineer 3</t>
        </is>
      </c>
      <c r="F21" s="13" t="inlineStr">
        <is>
          <t>P2</t>
        </is>
      </c>
      <c r="G21" s="13" t="inlineStr">
        <is>
          <t>Sprint 3</t>
        </is>
      </c>
      <c r="H21" s="13" t="inlineStr">
        <is>
          <t>backlog</t>
        </is>
      </c>
      <c r="I21" s="22" t="inlineStr">
        <is>
          <t>1C.1</t>
        </is>
      </c>
      <c r="J21" s="22" t="inlineStr">
        <is>
          <t>Viết NumpyRingBuffer(RingBuffer) dùng np.ndarray + head pointer index. Cả 2 variant chạy chung contract test của 1C.1. Benchmark so sánh 1C.2 vs 1C.3 trên 10^5 push + snapshot: report vào metrics/ring_buffer_bench.md để chọn variant chính thức.</t>
        </is>
      </c>
      <c r="K21" s="13" t="inlineStr"/>
      <c r="L21" s="13" t="inlineStr"/>
      <c r="M21" s="22" t="inlineStr"/>
    </row>
    <row r="22">
      <c r="A22" s="12" t="inlineStr">
        <is>
          <t>1C.4</t>
        </is>
      </c>
      <c r="B22" s="13" t="inlineStr">
        <is>
          <t>Epic 1</t>
        </is>
      </c>
      <c r="C22" s="13" t="inlineStr">
        <is>
          <t>1C Ring Buffer</t>
        </is>
      </c>
      <c r="D22" s="22" t="inlineStr">
        <is>
          <t>Wrapper asyncio-safe</t>
        </is>
      </c>
      <c r="E22" s="13" t="inlineStr">
        <is>
          <t>Data Engineer 3</t>
        </is>
      </c>
      <c r="F22" s="13" t="inlineStr">
        <is>
          <t>P1</t>
        </is>
      </c>
      <c r="G22" s="13" t="inlineStr">
        <is>
          <t>Sprint 3</t>
        </is>
      </c>
      <c r="H22" s="13" t="inlineStr">
        <is>
          <t>backlog</t>
        </is>
      </c>
      <c r="I22" s="22" t="inlineStr">
        <is>
          <t>1C.2</t>
        </is>
      </c>
      <c r="J22" s="22" t="inlineStr">
        <is>
          <t>Bọc RingBuffer trong AsyncSafeRingBuffer dùng asyncio.Lock. Method async apush(), async asnapshot(). Test stress: 4 producer coroutine + 2 consumer chạy 10s → không race, count push = count observed, overhead &lt; 5% so với sync (benchmark).</t>
        </is>
      </c>
      <c r="K22" s="13" t="inlineStr"/>
      <c r="L22" s="13" t="inlineStr"/>
      <c r="M22" s="22" t="inlineStr"/>
    </row>
    <row r="23">
      <c r="A23" s="12" t="inlineStr">
        <is>
          <t>1D.1</t>
        </is>
      </c>
      <c r="B23" s="13" t="inlineStr">
        <is>
          <t>Epic 1</t>
        </is>
      </c>
      <c r="C23" s="13" t="inlineStr">
        <is>
          <t>1D CSV Historical</t>
        </is>
      </c>
      <c r="D23" s="22" t="inlineStr">
        <is>
          <t>Mapping CSV → TickDataEvent</t>
        </is>
      </c>
      <c r="E23" s="13" t="inlineStr">
        <is>
          <t>Data Engineer 4</t>
        </is>
      </c>
      <c r="F23" s="13" t="inlineStr">
        <is>
          <t>P1</t>
        </is>
      </c>
      <c r="G23" s="13" t="inlineStr">
        <is>
          <t>Sprint 2</t>
        </is>
      </c>
      <c r="H23" s="13" t="inlineStr">
        <is>
          <t>backlog</t>
        </is>
      </c>
      <c r="I23" s="22" t="inlineStr">
        <is>
          <t>0.1, 0.4</t>
        </is>
      </c>
      <c r="J23" s="22" t="inlineStr">
        <is>
          <t>Viết ingestion/csv/mapper.py đọc 1 row (dict từ csv.DictReader) → TickDataEvent theo schema 0.1. Xử lý type coercion: str→Decimal cho amount, str→datetime cho timestamp. Row hỏng: log WARNING kèm row_number + reason, không crash. Test với fixtures 0.4: 100% row luna_ust parse ok, cố tình chèn row lỗi vẫn stream tiếp.</t>
        </is>
      </c>
      <c r="K23" s="13" t="inlineStr"/>
      <c r="L23" s="13" t="inlineStr"/>
      <c r="M23" s="22" t="inlineStr"/>
    </row>
    <row r="24">
      <c r="A24" s="12" t="inlineStr">
        <is>
          <t>1D.2</t>
        </is>
      </c>
      <c r="B24" s="13" t="inlineStr">
        <is>
          <t>Epic 1</t>
        </is>
      </c>
      <c r="C24" s="13" t="inlineStr">
        <is>
          <t>1D CSV Historical</t>
        </is>
      </c>
      <c r="D24" s="22" t="inlineStr">
        <is>
          <t>CSV Streamer async</t>
        </is>
      </c>
      <c r="E24" s="13" t="inlineStr">
        <is>
          <t>Data Engineer 4</t>
        </is>
      </c>
      <c r="F24" s="13" t="inlineStr">
        <is>
          <t>P1</t>
        </is>
      </c>
      <c r="G24" s="13" t="inlineStr">
        <is>
          <t>Sprint 2</t>
        </is>
      </c>
      <c r="H24" s="13" t="inlineStr">
        <is>
          <t>backlog</t>
        </is>
      </c>
      <c r="I24" s="22" t="inlineStr">
        <is>
          <t>1D.1</t>
        </is>
      </c>
      <c r="J24" s="22" t="inlineStr">
        <is>
          <t>Viết async def stream_csv(path) -&gt; AsyncGenerator[TickDataEvent] dùng aiofiles đọc từng chunk. Không load full file vào RAM. Verify với fixture 5000 dòng: memory peak &lt; 50MB (tracemalloc). Test yield count đúng số row hợp lệ.</t>
        </is>
      </c>
      <c r="K24" s="13" t="inlineStr"/>
      <c r="L24" s="13" t="inlineStr"/>
      <c r="M24" s="22" t="inlineStr"/>
    </row>
    <row r="25">
      <c r="A25" s="12" t="inlineStr">
        <is>
          <t>1D.3</t>
        </is>
      </c>
      <c r="B25" s="13" t="inlineStr">
        <is>
          <t>Epic 1</t>
        </is>
      </c>
      <c r="C25" s="13" t="inlineStr">
        <is>
          <t>1D CSV Historical</t>
        </is>
      </c>
      <c r="D25" s="22" t="inlineStr">
        <is>
          <t>Backtest Replay Driver</t>
        </is>
      </c>
      <c r="E25" s="13" t="inlineStr">
        <is>
          <t>Data Engineer 4</t>
        </is>
      </c>
      <c r="F25" s="13" t="inlineStr">
        <is>
          <t>P1</t>
        </is>
      </c>
      <c r="G25" s="13" t="inlineStr">
        <is>
          <t>Sprint 3</t>
        </is>
      </c>
      <c r="H25" s="13" t="inlineStr">
        <is>
          <t>backlog</t>
        </is>
      </c>
      <c r="I25" s="22" t="inlineStr">
        <is>
          <t>1D.2, 1C.4</t>
        </is>
      </c>
      <c r="J25" s="22" t="inlineStr">
        <is>
          <t>Viết ingestion/csv/replay.py: nhận path CSV + rate (1x=realtime theo timestamp gap, 100x=nhanh 100 lần, asap=không delay). Feed vào RingBuffer. CLI wrapper: python -m ingestion.csv.replay --file luna.csv --rate 100x. Test: file 5 phút wall-clock ở rate=1x mất ~5 phút (±5%), rate=asap mất &lt; 10s.</t>
        </is>
      </c>
      <c r="K25" s="13" t="inlineStr"/>
      <c r="L25" s="13" t="inlineStr"/>
      <c r="M25" s="22" t="inlineStr"/>
    </row>
    <row r="26">
      <c r="A26" s="12" t="inlineStr">
        <is>
          <t>1E.1</t>
        </is>
      </c>
      <c r="B26" s="13" t="inlineStr">
        <is>
          <t>Epic 1</t>
        </is>
      </c>
      <c r="C26" s="13" t="inlineStr">
        <is>
          <t>1E Integration</t>
        </is>
      </c>
      <c r="D26" s="22" t="inlineStr">
        <is>
          <t>Pipeline Orchestrator</t>
        </is>
      </c>
      <c r="E26" s="13" t="inlineStr">
        <is>
          <t>Data Engineer 1</t>
        </is>
      </c>
      <c r="F26" s="13" t="inlineStr">
        <is>
          <t>P1</t>
        </is>
      </c>
      <c r="G26" s="13" t="inlineStr">
        <is>
          <t>Sprint 3</t>
        </is>
      </c>
      <c r="H26" s="13" t="inlineStr">
        <is>
          <t>backlog</t>
        </is>
      </c>
      <c r="I26" s="22" t="inlineStr">
        <is>
          <t>1A.4, 1B.4, 1C.4</t>
        </is>
      </c>
      <c r="J26" s="22" t="inlineStr">
        <is>
          <t>Viết ingestion/pipeline.py IngestionPipeline.run() ghép: WS client (1A) → decoder+router (1B) → ring buffer (1C). Handle SIGTERM: drain event trong queue &lt; 2s rồi exit code 0. Log INFO khởi động + shutdown timing. E2E test dùng mock server 0.5 chạy 60s: throughput đúng, không mất event, shutdown sạch.</t>
        </is>
      </c>
      <c r="K26" s="13" t="inlineStr"/>
      <c r="L26" s="13" t="inlineStr"/>
      <c r="M26" s="22" t="inlineStr"/>
    </row>
    <row r="27">
      <c r="A27" s="12" t="inlineStr">
        <is>
          <t>1E.2</t>
        </is>
      </c>
      <c r="B27" s="13" t="inlineStr">
        <is>
          <t>Epic 1</t>
        </is>
      </c>
      <c r="C27" s="13" t="inlineStr">
        <is>
          <t>1E Integration</t>
        </is>
      </c>
      <c r="D27" s="22" t="inlineStr">
        <is>
          <t>Tool đối chiếu Etherscan</t>
        </is>
      </c>
      <c r="E27" s="13" t="inlineStr">
        <is>
          <t>Data Analyst</t>
        </is>
      </c>
      <c r="F27" s="13" t="inlineStr">
        <is>
          <t>P2</t>
        </is>
      </c>
      <c r="G27" s="13" t="inlineStr">
        <is>
          <t>Sprint 3</t>
        </is>
      </c>
      <c r="H27" s="13" t="inlineStr">
        <is>
          <t>backlog</t>
        </is>
      </c>
      <c r="I27" s="22" t="inlineStr">
        <is>
          <t>1E.1</t>
        </is>
      </c>
      <c r="J27" s="22" t="inlineStr">
        <is>
          <t>Viết tools/reconcile_etherscan.py: chạy pipeline 5 phút live, lưu event vào file JSONL, sau đó gọi Etherscan API (getLogs cho cùng block range) và so sánh field-by-field. AC: 3 block ngẫu nhiên có 100% event match. Report tỷ lệ match &lt; 99.5% → exit code 1 (CI fail).</t>
        </is>
      </c>
      <c r="K27" s="13" t="inlineStr"/>
      <c r="L27" s="13" t="inlineStr"/>
      <c r="M27" s="22" t="inlineStr"/>
    </row>
    <row r="28">
      <c r="A28" s="12" t="inlineStr">
        <is>
          <t>1E.3</t>
        </is>
      </c>
      <c r="B28" s="13" t="inlineStr">
        <is>
          <t>Epic 1</t>
        </is>
      </c>
      <c r="C28" s="13" t="inlineStr">
        <is>
          <t>1E Integration</t>
        </is>
      </c>
      <c r="D28" s="22" t="inlineStr">
        <is>
          <t>Báo cáo Data Quality Profiling</t>
        </is>
      </c>
      <c r="E28" s="13" t="inlineStr">
        <is>
          <t>Data Analyst</t>
        </is>
      </c>
      <c r="F28" s="13" t="inlineStr">
        <is>
          <t>P2</t>
        </is>
      </c>
      <c r="G28" s="13" t="inlineStr">
        <is>
          <t>Sprint 4</t>
        </is>
      </c>
      <c r="H28" s="13" t="inlineStr">
        <is>
          <t>backlog</t>
        </is>
      </c>
      <c r="I28" s="22" t="inlineStr">
        <is>
          <t>1E.1</t>
        </is>
      </c>
      <c r="J28" s="22" t="inlineStr">
        <is>
          <t>Viết tools/profile_data_quality.py: đọc log JSONL 24h, sinh HTML report gồm 4 biểu đồ (throughput theo phút, latency drift histogram, event type distribution, protocol distribution) + bảng flag các gap &gt; 30s. Dùng pandas + plotly. Đưa vào lịch chạy hàng đêm.</t>
        </is>
      </c>
      <c r="K28" s="13" t="inlineStr"/>
      <c r="L28" s="13" t="inlineStr"/>
      <c r="M28" s="22" t="inlineStr"/>
    </row>
    <row r="29">
      <c r="A29" s="12" t="inlineStr">
        <is>
          <t>2R.1</t>
        </is>
      </c>
      <c r="B29" s="13" t="inlineStr">
        <is>
          <t>Epic 2</t>
        </is>
      </c>
      <c r="C29" s="13" t="inlineStr">
        <is>
          <t>2R Research</t>
        </is>
      </c>
      <c r="D29" s="22" t="inlineStr">
        <is>
          <t>Catalog &amp; nguồn Node Feature</t>
        </is>
      </c>
      <c r="E29" s="13" t="inlineStr">
        <is>
          <t>AI Engineer 2</t>
        </is>
      </c>
      <c r="F29" s="13" t="inlineStr">
        <is>
          <t>P0</t>
        </is>
      </c>
      <c r="G29" s="13" t="inlineStr">
        <is>
          <t>Sprint 2</t>
        </is>
      </c>
      <c r="H29" s="13" t="inlineStr">
        <is>
          <t>ready-for-dev</t>
        </is>
      </c>
      <c r="I29" s="22" t="inlineStr">
        <is>
          <t>0.2</t>
        </is>
      </c>
      <c r="J29" s="22" t="inlineStr">
        <is>
          <t>[RESEARCH] Mỗi feature (tvl, utilization, price_delta, volatility, borrow_rate): công thức, input event/field, đơn vị, range, missing-data policy → research/feature_catalog.md. Chỉ rõ feature nào từ schema 0.1, feature nào cần nguồn phụ. CHẶN 2B.2.</t>
        </is>
      </c>
      <c r="K29" s="13" t="n"/>
      <c r="L29" s="13" t="n"/>
      <c r="M29" s="22" t="n"/>
    </row>
    <row r="30">
      <c r="A30" s="12" t="inlineStr">
        <is>
          <t>2R.2</t>
        </is>
      </c>
      <c r="B30" s="13" t="inlineStr">
        <is>
          <t>Epic 2</t>
        </is>
      </c>
      <c r="C30" s="13" t="inlineStr">
        <is>
          <t>2R Research</t>
        </is>
      </c>
      <c r="D30" s="22" t="inlineStr">
        <is>
          <t>Thiết kế Graph Topology</t>
        </is>
      </c>
      <c r="E30" s="13" t="inlineStr">
        <is>
          <t>AI Engineer 1</t>
        </is>
      </c>
      <c r="F30" s="13" t="inlineStr">
        <is>
          <t>P0</t>
        </is>
      </c>
      <c r="G30" s="13" t="inlineStr">
        <is>
          <t>Sprint 2</t>
        </is>
      </c>
      <c r="H30" s="13" t="inlineStr">
        <is>
          <t>ready-for-dev</t>
        </is>
      </c>
      <c r="I30" s="22" t="inlineStr">
        <is>
          <t>0.2, 1B.3</t>
        </is>
      </c>
      <c r="J30" s="22" t="inlineStr">
        <is>
          <t>[RESEARCH] Chốt loại node, quy tắc nối cạnh, N kỳ vọng runtime, độ thưa cho scope 3-5 pool → research/graph_topology.md (sơ đồ mẫu, N ước lượng, sparsity). Khuyến nghị dense/sparse v1. CHẶN tensor shape 2B.*.</t>
        </is>
      </c>
      <c r="K30" s="13" t="n"/>
      <c r="L30" s="13" t="n"/>
      <c r="M30" s="22" t="n"/>
    </row>
    <row r="31">
      <c r="A31" s="12" t="inlineStr">
        <is>
          <t>2A.1</t>
        </is>
      </c>
      <c r="B31" s="13" t="inlineStr">
        <is>
          <t>Epic 2</t>
        </is>
      </c>
      <c r="C31" s="13" t="inlineStr">
        <is>
          <t>2A Graph</t>
        </is>
      </c>
      <c r="D31" s="22" t="inlineStr">
        <is>
          <t>Schema Node Type</t>
        </is>
      </c>
      <c r="E31" s="13" t="inlineStr">
        <is>
          <t>AI Engineer 1</t>
        </is>
      </c>
      <c r="F31" s="13" t="inlineStr">
        <is>
          <t>P1</t>
        </is>
      </c>
      <c r="G31" s="13" t="inlineStr">
        <is>
          <t>Sprint 2</t>
        </is>
      </c>
      <c r="H31" s="13" t="inlineStr">
        <is>
          <t>backlog</t>
        </is>
      </c>
      <c r="I31" s="22" t="inlineStr">
        <is>
          <t>0.2</t>
        </is>
      </c>
      <c r="J31" s="22" t="inlineStr">
        <is>
          <t>Viết engine/graph/nodes.py Pydantic model: ProtocolNode, PoolNode, TokenNode với field theo schema 0.2. Ràng buộc: tvl ≥ 0, volatility ≥ 0, connectivity ∈ [0,1]. Validation error → raise. Unit test: model_validate ok với sample từ graph_example.json (0.2).</t>
        </is>
      </c>
      <c r="K31" s="13" t="inlineStr"/>
      <c r="L31" s="13" t="inlineStr"/>
      <c r="M31" s="22" t="inlineStr"/>
    </row>
    <row r="32">
      <c r="A32" s="12" t="inlineStr">
        <is>
          <t>2A.2</t>
        </is>
      </c>
      <c r="B32" s="13" t="inlineStr">
        <is>
          <t>Epic 2</t>
        </is>
      </c>
      <c r="C32" s="13" t="inlineStr">
        <is>
          <t>2A Graph</t>
        </is>
      </c>
      <c r="D32" s="22" t="inlineStr">
        <is>
          <t>Schema Edge Type</t>
        </is>
      </c>
      <c r="E32" s="13" t="inlineStr">
        <is>
          <t>AI Engineer 1</t>
        </is>
      </c>
      <c r="F32" s="13" t="inlineStr">
        <is>
          <t>P1</t>
        </is>
      </c>
      <c r="G32" s="13" t="inlineStr">
        <is>
          <t>Sprint 2</t>
        </is>
      </c>
      <c r="H32" s="13" t="inlineStr">
        <is>
          <t>backlog</t>
        </is>
      </c>
      <c r="I32" s="22" t="inlineStr">
        <is>
          <t>0.2</t>
        </is>
      </c>
      <c r="J32" s="22" t="inlineStr">
        <is>
          <t>Viết engine/graph/edges.py: LiquidityFlowEdge, BorrowPositionEdge, SharedCollateralEdge. Ràng buộc: weight ∈ [0,1], source ≠ target, source/target phải tồn tại trong node list (validate ở graph level). Unit test model_validate + reject self-loop.</t>
        </is>
      </c>
      <c r="K32" s="13" t="inlineStr"/>
      <c r="L32" s="13" t="inlineStr"/>
      <c r="M32" s="22" t="inlineStr"/>
    </row>
    <row r="33">
      <c r="A33" s="12" t="inlineStr">
        <is>
          <t>2A.3</t>
        </is>
      </c>
      <c r="B33" s="13" t="inlineStr">
        <is>
          <t>Epic 2</t>
        </is>
      </c>
      <c r="C33" s="13" t="inlineStr">
        <is>
          <t>2A Graph</t>
        </is>
      </c>
      <c r="D33" s="22" t="inlineStr">
        <is>
          <t>Graph Builder JSON → NetworkX</t>
        </is>
      </c>
      <c r="E33" s="13" t="inlineStr">
        <is>
          <t>AI Engineer 1</t>
        </is>
      </c>
      <c r="F33" s="13" t="inlineStr">
        <is>
          <t>P1</t>
        </is>
      </c>
      <c r="G33" s="13" t="inlineStr">
        <is>
          <t>Sprint 3</t>
        </is>
      </c>
      <c r="H33" s="13" t="inlineStr">
        <is>
          <t>backlog</t>
        </is>
      </c>
      <c r="I33" s="22" t="inlineStr">
        <is>
          <t>2A.1, 2A.2, 0.4</t>
        </is>
      </c>
      <c r="J33" s="22" t="inlineStr">
        <is>
          <t>Viết engine/graph/builder.py: build_graph(events: list[TickDataEvent]) -&gt; networkx.MultiDiGraph gom event theo window (mặc định 60s), sinh node/edge theo type. Đảm bảo deterministic (cùng input → cùng graph). Benchmark: 1000 event → &lt; 20ms trên CPU M-series. Test dùng fixture 0.4 luna: sinh graph có ≥ 3 protocol, ≥ 10 pool, &gt; 20 edge.</t>
        </is>
      </c>
      <c r="K33" s="13" t="inlineStr"/>
      <c r="L33" s="13" t="inlineStr"/>
      <c r="M33" s="22" t="inlineStr"/>
    </row>
    <row r="34">
      <c r="A34" s="12" t="inlineStr">
        <is>
          <t>2A.4</t>
        </is>
      </c>
      <c r="B34" s="13" t="inlineStr">
        <is>
          <t>Epic 2</t>
        </is>
      </c>
      <c r="C34" s="13" t="inlineStr">
        <is>
          <t>2A Graph</t>
        </is>
      </c>
      <c r="D34" s="22" t="inlineStr">
        <is>
          <t>Công thức trọng số cạnh</t>
        </is>
      </c>
      <c r="E34" s="13" t="inlineStr">
        <is>
          <t>AI Engineer 1 + Quants</t>
        </is>
      </c>
      <c r="F34" s="13" t="inlineStr">
        <is>
          <t>P1</t>
        </is>
      </c>
      <c r="G34" s="13" t="inlineStr">
        <is>
          <t>Sprint 3</t>
        </is>
      </c>
      <c r="H34" s="13" t="inlineStr">
        <is>
          <t>backlog</t>
        </is>
      </c>
      <c r="I34" s="22" t="inlineStr">
        <is>
          <t>2A.3</t>
        </is>
      </c>
      <c r="J34" s="22" t="inlineStr">
        <is>
          <t>Định nghĩa weight = normalize( volume_usd × exp(-λ × age_seconds) ) với λ=1/1800 (half-life 30 phút). Normalize theo min-max trong window. Doc công thức + rationale trong docs/graph_weight.md. Test: 2 event cùng volume nhưng lệch time → event mới có weight &gt; event cũ, cả hai ∈ [0,1].</t>
        </is>
      </c>
      <c r="K34" s="13" t="inlineStr"/>
      <c r="L34" s="13" t="inlineStr"/>
      <c r="M34" s="22" t="inlineStr"/>
    </row>
    <row r="35">
      <c r="A35" s="12" t="inlineStr">
        <is>
          <t>2B.1</t>
        </is>
      </c>
      <c r="B35" s="13" t="inlineStr">
        <is>
          <t>Epic 2</t>
        </is>
      </c>
      <c r="C35" s="13" t="inlineStr">
        <is>
          <t>2B Tensor Map</t>
        </is>
      </c>
      <c r="D35" s="22" t="inlineStr">
        <is>
          <t>Constructor Adjacency Tensor</t>
        </is>
      </c>
      <c r="E35" s="13" t="inlineStr">
        <is>
          <t>AI Engineer 2</t>
        </is>
      </c>
      <c r="F35" s="13" t="inlineStr">
        <is>
          <t>P1</t>
        </is>
      </c>
      <c r="G35" s="13" t="inlineStr">
        <is>
          <t>Sprint 2</t>
        </is>
      </c>
      <c r="H35" s="13" t="inlineStr">
        <is>
          <t>backlog</t>
        </is>
      </c>
      <c r="I35" s="22" t="inlineStr">
        <is>
          <t>0.2</t>
        </is>
      </c>
      <c r="J35" s="22" t="inlineStr">
        <is>
          <t>Viết engine/tensor/adjacency.py: build_adjacency(graph) -&gt; torch.Tensor shape (N,N) dtype=float32, symmetric (A + A.T)/2. Deterministic node ordering (sort theo node.id). Bench &lt; 5ms cho N=50. Test: A[i,j] == A[j,i]; row-sum &gt; 0 với node có edge; identity check với graph rỗng trả về zeros.</t>
        </is>
      </c>
      <c r="K35" s="13" t="inlineStr"/>
      <c r="L35" s="13" t="inlineStr"/>
      <c r="M35" s="22" t="inlineStr"/>
    </row>
    <row r="36">
      <c r="A36" s="12" t="inlineStr">
        <is>
          <t>2B.2</t>
        </is>
      </c>
      <c r="B36" s="13" t="inlineStr">
        <is>
          <t>Epic 2</t>
        </is>
      </c>
      <c r="C36" s="13" t="inlineStr">
        <is>
          <t>2B Tensor Map</t>
        </is>
      </c>
      <c r="D36" s="22" t="inlineStr">
        <is>
          <t>Node Feature Tensor</t>
        </is>
      </c>
      <c r="E36" s="13" t="inlineStr">
        <is>
          <t>AI Engineer 2</t>
        </is>
      </c>
      <c r="F36" s="13" t="inlineStr">
        <is>
          <t>P1</t>
        </is>
      </c>
      <c r="G36" s="13" t="inlineStr">
        <is>
          <t>Sprint 2</t>
        </is>
      </c>
      <c r="H36" s="13" t="inlineStr">
        <is>
          <t>backlog</t>
        </is>
      </c>
      <c r="I36" s="22" t="inlineStr">
        <is>
          <t>0.2</t>
        </is>
      </c>
      <c r="J36" s="22" t="inlineStr">
        <is>
          <t>Viết build_node_features(graph) -&gt; torch.Tensor shape (N, 5) gồm 5 feature: tvl_log, volume_24h_log, price_z, volatility, connectivity. Xử lý NaN → 0 và log WARNING kèm node_id. Test: kích thước đúng, không có NaN sau xử lý, log warning được emit đúng số lần.</t>
        </is>
      </c>
      <c r="K36" s="13" t="inlineStr"/>
      <c r="L36" s="13" t="inlineStr"/>
      <c r="M36" s="22" t="inlineStr"/>
    </row>
    <row r="37">
      <c r="A37" s="12" t="inlineStr">
        <is>
          <t>2B.3</t>
        </is>
      </c>
      <c r="B37" s="13" t="inlineStr">
        <is>
          <t>Epic 2</t>
        </is>
      </c>
      <c r="C37" s="13" t="inlineStr">
        <is>
          <t>2B Tensor Map</t>
        </is>
      </c>
      <c r="D37" s="22" t="inlineStr">
        <is>
          <t>Lớp Normalization</t>
        </is>
      </c>
      <c r="E37" s="13" t="inlineStr">
        <is>
          <t>AI Engineer 2</t>
        </is>
      </c>
      <c r="F37" s="13" t="inlineStr">
        <is>
          <t>P1</t>
        </is>
      </c>
      <c r="G37" s="13" t="inlineStr">
        <is>
          <t>Sprint 3</t>
        </is>
      </c>
      <c r="H37" s="13" t="inlineStr">
        <is>
          <t>backlog</t>
        </is>
      </c>
      <c r="I37" s="22" t="inlineStr">
        <is>
          <t>2B.2</t>
        </is>
      </c>
      <c r="J37" s="22" t="inlineStr">
        <is>
          <t>Viết engine/tensor/normalize.py hỗ trợ 2 mode: minmax (0-1) và zscore (mean 0 std 1), toggle qua config. Persist NormalizationState (min/max/mean/std) ra file để inference dùng lại. Test: forward + inverse trả về giá trị gốc (tolerance 1e-6), persist/load ok.</t>
        </is>
      </c>
      <c r="K37" s="13" t="inlineStr"/>
      <c r="L37" s="13" t="inlineStr"/>
      <c r="M37" s="22" t="inlineStr"/>
    </row>
    <row r="38">
      <c r="A38" s="12" t="inlineStr">
        <is>
          <t>2B.4</t>
        </is>
      </c>
      <c r="B38" s="13" t="inlineStr">
        <is>
          <t>Epic 2</t>
        </is>
      </c>
      <c r="C38" s="13" t="inlineStr">
        <is>
          <t>2B Tensor Map</t>
        </is>
      </c>
      <c r="D38" s="22" t="inlineStr">
        <is>
          <t>Variant Sparse Tensor</t>
        </is>
      </c>
      <c r="E38" s="13" t="inlineStr">
        <is>
          <t>AI Engineer 2</t>
        </is>
      </c>
      <c r="F38" s="13" t="inlineStr">
        <is>
          <t>P2</t>
        </is>
      </c>
      <c r="G38" s="13" t="inlineStr">
        <is>
          <t>Sprint 4</t>
        </is>
      </c>
      <c r="H38" s="13" t="inlineStr">
        <is>
          <t>backlog</t>
        </is>
      </c>
      <c r="I38" s="22" t="inlineStr">
        <is>
          <t>2B.1</t>
        </is>
      </c>
      <c r="J38" s="22" t="inlineStr">
        <is>
          <t>Viết SparseAdjacencyTensor dùng torch.sparse_coo_tensor cho N &gt; 200. Benchmark: RAM giảm ≥ 80% so với dense; output dense.to_dense() khớp dense variant tolerance 1e-6. Config auto-switch: N ≥ 200 dùng sparse, ngược lại dense.</t>
        </is>
      </c>
      <c r="K38" s="13" t="inlineStr"/>
      <c r="L38" s="13" t="inlineStr"/>
      <c r="M38" s="22" t="inlineStr"/>
    </row>
    <row r="39">
      <c r="A39" s="12" t="inlineStr">
        <is>
          <t>2C.1</t>
        </is>
      </c>
      <c r="B39" s="13" t="inlineStr">
        <is>
          <t>Epic 2</t>
        </is>
      </c>
      <c r="C39" s="13" t="inlineStr">
        <is>
          <t>2C Validation</t>
        </is>
      </c>
      <c r="D39" s="22" t="inlineStr">
        <is>
          <t>Unit test invariant Tensor</t>
        </is>
      </c>
      <c r="E39" s="13" t="inlineStr">
        <is>
          <t>Quants</t>
        </is>
      </c>
      <c r="F39" s="13" t="inlineStr">
        <is>
          <t>P1</t>
        </is>
      </c>
      <c r="G39" s="13" t="inlineStr">
        <is>
          <t>Sprint 3</t>
        </is>
      </c>
      <c r="H39" s="13" t="inlineStr">
        <is>
          <t>backlog</t>
        </is>
      </c>
      <c r="I39" s="22" t="inlineStr">
        <is>
          <t>2B.1, 2B.2</t>
        </is>
      </c>
      <c r="J39" s="22" t="inlineStr">
        <is>
          <t>Viết test suite property-based dùng hypothesis: symmetry adjacency (∀ graph, A == A.T), non-negative feature (tvl, volume ≥ 0), mass conservation (sum flow-in ≈ sum flow-out tolerance 1%). Chạy 500 case random. Fail phải xuất minimal counter-example.</t>
        </is>
      </c>
      <c r="K39" s="13" t="inlineStr"/>
      <c r="L39" s="13" t="inlineStr"/>
      <c r="M39" s="22" t="inlineStr"/>
    </row>
    <row r="40">
      <c r="A40" s="12" t="inlineStr">
        <is>
          <t>2C.2</t>
        </is>
      </c>
      <c r="B40" s="13" t="inlineStr">
        <is>
          <t>Epic 2</t>
        </is>
      </c>
      <c r="C40" s="13" t="inlineStr">
        <is>
          <t>2C Validation</t>
        </is>
      </c>
      <c r="D40" s="22" t="inlineStr">
        <is>
          <t>Visualization Heatmap</t>
        </is>
      </c>
      <c r="E40" s="13" t="inlineStr">
        <is>
          <t>Quants</t>
        </is>
      </c>
      <c r="F40" s="13" t="inlineStr">
        <is>
          <t>P2</t>
        </is>
      </c>
      <c r="G40" s="13" t="inlineStr">
        <is>
          <t>Sprint 3</t>
        </is>
      </c>
      <c r="H40" s="13" t="inlineStr">
        <is>
          <t>backlog</t>
        </is>
      </c>
      <c r="I40" s="22" t="inlineStr">
        <is>
          <t>2A.3</t>
        </is>
      </c>
      <c r="J40" s="22" t="inlineStr">
        <is>
          <t>Viết tools/plot_adjacency.py: nhận graph snapshot → sinh heatmap.png (matplotlib) + heatmap_legend.json ghi mapping index→node.id. Config colormap (mặc định viridis). CI job: chạy trên 1 snapshot LUNA, upload artifact.</t>
        </is>
      </c>
      <c r="K40" s="13" t="inlineStr"/>
      <c r="L40" s="13" t="inlineStr"/>
      <c r="M40" s="22" t="inlineStr"/>
    </row>
    <row r="41">
      <c r="A41" s="12" t="inlineStr">
        <is>
          <t>2C.3</t>
        </is>
      </c>
      <c r="B41" s="13" t="inlineStr">
        <is>
          <t>Epic 2</t>
        </is>
      </c>
      <c r="C41" s="13" t="inlineStr">
        <is>
          <t>2C Validation</t>
        </is>
      </c>
      <c r="D41" s="22" t="inlineStr">
        <is>
          <t>So sánh với dữ liệu reference</t>
        </is>
      </c>
      <c r="E41" s="13" t="inlineStr">
        <is>
          <t>Quants</t>
        </is>
      </c>
      <c r="F41" s="13" t="inlineStr">
        <is>
          <t>P2</t>
        </is>
      </c>
      <c r="G41" s="13" t="inlineStr">
        <is>
          <t>Sprint 4</t>
        </is>
      </c>
      <c r="H41" s="13" t="inlineStr">
        <is>
          <t>backlog</t>
        </is>
      </c>
      <c r="I41" s="22" t="inlineStr">
        <is>
          <t>2A.3, 0.4</t>
        </is>
      </c>
      <c r="J41" s="22" t="inlineStr">
        <is>
          <t>Lấy top-10 pool theo TVL từ Nansen/Dune public (query id đính kèm) làm reference. So sánh với top-10 edge weight cao nhất sinh từ builder trên cùng thời điểm LUNA t0. AC: ≥ 7/10 pool trùng. Report vào docs/graph_validation.md.</t>
        </is>
      </c>
      <c r="K41" s="13" t="inlineStr"/>
      <c r="L41" s="13" t="inlineStr"/>
      <c r="M41" s="22" t="inlineStr"/>
    </row>
    <row r="42">
      <c r="A42" s="12" t="inlineStr">
        <is>
          <t>3R.1</t>
        </is>
      </c>
      <c r="B42" s="13" t="inlineStr">
        <is>
          <t>Epic 3</t>
        </is>
      </c>
      <c r="C42" s="13" t="inlineStr">
        <is>
          <t>3R Research</t>
        </is>
      </c>
      <c r="D42" s="22" t="inlineStr">
        <is>
          <t>Đặc tả toán MPS→Fragility (TIÊN QUYẾT)</t>
        </is>
      </c>
      <c r="E42" s="13" t="inlineStr">
        <is>
          <t>AI Lead + Quants</t>
        </is>
      </c>
      <c r="F42" s="13" t="inlineStr">
        <is>
          <t>P0</t>
        </is>
      </c>
      <c r="G42" s="13" t="inlineStr">
        <is>
          <t>Sprint 2</t>
        </is>
      </c>
      <c r="H42" s="13" t="inlineStr">
        <is>
          <t>ready-for-dev</t>
        </is>
      </c>
      <c r="I42" s="22" t="inlineStr">
        <is>
          <t>0.2, 2B.1</t>
        </is>
      </c>
      <c r="J42" s="22" t="inlineStr">
        <is>
          <t>[RESEARCH][TIÊN QUYẾT] Đặc tả chính thức: adjacency+feature tensor → phân rã MPS/tensor-train → entanglement entropy → Fragility raw. Ký hiệu, chiều tensor, thứ tự contraction, công thức entropy, ánh xạ entropy→Fragility. Kèm ví dụ 3-node tính tay làm test oracle cho 3A.1 → research/mps_fragility_model.md. CHẶN TOÀN BỘ Epic 3.</t>
        </is>
      </c>
      <c r="K42" s="13" t="n"/>
      <c r="L42" s="13" t="n"/>
      <c r="M42" s="22" t="n"/>
    </row>
    <row r="43">
      <c r="A43" s="12" t="inlineStr">
        <is>
          <t>3R.2</t>
        </is>
      </c>
      <c r="B43" s="13" t="inlineStr">
        <is>
          <t>Epic 3</t>
        </is>
      </c>
      <c r="C43" s="13" t="inlineStr">
        <is>
          <t>3R Research</t>
        </is>
      </c>
      <c r="D43" s="22" t="inlineStr">
        <is>
          <t>Literature Review Tensor-Network Risk</t>
        </is>
      </c>
      <c r="E43" s="13" t="inlineStr">
        <is>
          <t>Quants</t>
        </is>
      </c>
      <c r="F43" s="13" t="inlineStr">
        <is>
          <t>P1</t>
        </is>
      </c>
      <c r="G43" s="13" t="inlineStr">
        <is>
          <t>Sprint 2</t>
        </is>
      </c>
      <c r="H43" s="13" t="inlineStr">
        <is>
          <t>backlog</t>
        </is>
      </c>
      <c r="I43" s="22" t="inlineStr">
        <is>
          <t>-</t>
        </is>
      </c>
      <c r="J43" s="22" t="inlineStr">
        <is>
          <t>[RESEARCH] Khảo sát ≥5 nguồn về entanglement entropy làm proxy rủi ro &amp; tensor network trong tài chính. Tóm tắt+trích dẫn+bài học+giả định chưa có tiền lệ → research/literature_review.md.</t>
        </is>
      </c>
      <c r="K43" s="13" t="n"/>
      <c r="L43" s="13" t="n"/>
      <c r="M43" s="22" t="n"/>
    </row>
    <row r="44">
      <c r="A44" s="12" t="inlineStr">
        <is>
          <t>3R.3</t>
        </is>
      </c>
      <c r="B44" s="13" t="inlineStr">
        <is>
          <t>Epic 3</t>
        </is>
      </c>
      <c r="C44" s="13" t="inlineStr">
        <is>
          <t>3R Research</t>
        </is>
      </c>
      <c r="D44" s="22" t="inlineStr">
        <is>
          <t>Thiết kế Naive Baseline Detector</t>
        </is>
      </c>
      <c r="E44" s="13" t="inlineStr">
        <is>
          <t>Quants</t>
        </is>
      </c>
      <c r="F44" s="13" t="inlineStr">
        <is>
          <t>P1</t>
        </is>
      </c>
      <c r="G44" s="13" t="inlineStr">
        <is>
          <t>Sprint 2</t>
        </is>
      </c>
      <c r="H44" s="13" t="inlineStr">
        <is>
          <t>backlog</t>
        </is>
      </c>
      <c r="I44" s="22" t="inlineStr">
        <is>
          <t>0.4</t>
        </is>
      </c>
      <c r="J44" s="22" t="inlineStr">
        <is>
          <t>[RESEARCH] Detector đơn giản không MPS (ngưỡng leverage/utilization hoặc graph centrality) làm mốc so sánh chứng minh MPS thêm giá trị (lead-time, false positive) → research/baseline_detector.md. Đủ đơn giản để implement ≤1 story build.</t>
        </is>
      </c>
      <c r="K44" s="13" t="n"/>
      <c r="L44" s="13" t="n"/>
      <c r="M44" s="22" t="n"/>
    </row>
    <row r="45">
      <c r="A45" s="12" t="inlineStr">
        <is>
          <t>3A.1</t>
        </is>
      </c>
      <c r="B45" s="13" t="inlineStr">
        <is>
          <t>Epic 3</t>
        </is>
      </c>
      <c r="C45" s="13" t="inlineStr">
        <is>
          <t>3A Baseline</t>
        </is>
      </c>
      <c r="D45" s="22" t="inlineStr">
        <is>
          <t>Contraction naive (torch.einsum)</t>
        </is>
      </c>
      <c r="E45" s="13" t="inlineStr">
        <is>
          <t>AI Engineer 3</t>
        </is>
      </c>
      <c r="F45" s="13" t="inlineStr">
        <is>
          <t>P1</t>
        </is>
      </c>
      <c r="G45" s="13" t="inlineStr">
        <is>
          <t>Sprint 2</t>
        </is>
      </c>
      <c r="H45" s="13" t="inlineStr">
        <is>
          <t>backlog</t>
        </is>
      </c>
      <c r="I45" s="22" t="inlineStr">
        <is>
          <t>0.2</t>
        </is>
      </c>
      <c r="J45" s="22" t="inlineStr">
        <is>
          <t>Viết engine/mps/baseline.py: hàm forward_naive(adjacency_tensor) dùng torch.einsum không optimize path. Deterministic (torch.manual_seed(42)). Không dùng GPU. Output là fragility scalar 0-100. Unit test: cùng input → cùng output bit-exact 10 lần chạy.</t>
        </is>
      </c>
      <c r="K45" s="13" t="inlineStr"/>
      <c r="L45" s="13" t="inlineStr"/>
      <c r="M45" s="22" t="inlineStr"/>
    </row>
    <row r="46">
      <c r="A46" s="12" t="inlineStr">
        <is>
          <t>3A.2</t>
        </is>
      </c>
      <c r="B46" s="13" t="inlineStr">
        <is>
          <t>Epic 3</t>
        </is>
      </c>
      <c r="C46" s="13" t="inlineStr">
        <is>
          <t>3A Baseline</t>
        </is>
      </c>
      <c r="D46" s="22" t="inlineStr">
        <is>
          <t>Harness Pytest-benchmark</t>
        </is>
      </c>
      <c r="E46" s="13" t="inlineStr">
        <is>
          <t>AI Engineer 3</t>
        </is>
      </c>
      <c r="F46" s="13" t="inlineStr">
        <is>
          <t>P1</t>
        </is>
      </c>
      <c r="G46" s="13" t="inlineStr">
        <is>
          <t>Sprint 2</t>
        </is>
      </c>
      <c r="H46" s="13" t="inlineStr">
        <is>
          <t>backlog</t>
        </is>
      </c>
      <c r="I46" s="22" t="inlineStr">
        <is>
          <t>3A.1</t>
        </is>
      </c>
      <c r="J46" s="22" t="inlineStr">
        <is>
          <t>Viết tests/perf/test_mps_bench.py dùng pytest-benchmark: chạy forward_naive 1000 iter, report p50/p95/p99 + std. Sinh HTML report vào .benchmarks/. Cấu hình CI: nếu p95 tệ hơn baseline 10% → fail (compare mode).</t>
        </is>
      </c>
      <c r="K46" s="13" t="inlineStr"/>
      <c r="L46" s="13" t="inlineStr"/>
      <c r="M46" s="22" t="inlineStr"/>
    </row>
    <row r="47">
      <c r="A47" s="12" t="inlineStr">
        <is>
          <t>3A.3</t>
        </is>
      </c>
      <c r="B47" s="13" t="inlineStr">
        <is>
          <t>Epic 3</t>
        </is>
      </c>
      <c r="C47" s="13" t="inlineStr">
        <is>
          <t>3A Baseline</t>
        </is>
      </c>
      <c r="D47" s="22" t="inlineStr">
        <is>
          <t>Memory Profiler</t>
        </is>
      </c>
      <c r="E47" s="13" t="inlineStr">
        <is>
          <t>AI Engineer 3</t>
        </is>
      </c>
      <c r="F47" s="13" t="inlineStr">
        <is>
          <t>P1</t>
        </is>
      </c>
      <c r="G47" s="13" t="inlineStr">
        <is>
          <t>Sprint 3</t>
        </is>
      </c>
      <c r="H47" s="13" t="inlineStr">
        <is>
          <t>backlog</t>
        </is>
      </c>
      <c r="I47" s="22" t="inlineStr">
        <is>
          <t>3A.2</t>
        </is>
      </c>
      <c r="J47" s="22" t="inlineStr">
        <is>
          <t>Tích hợp tracemalloc + psutil vào harness: đo peak RSS sau 100 forward pass. Ghi vào bench report. Threshold: fail nếu peak &gt; 500MB. Test: chạy trên graph N=50, N=100, N=200 – confirm không leak (RSS ổn định sau warmup).</t>
        </is>
      </c>
      <c r="K47" s="13" t="inlineStr"/>
      <c r="L47" s="13" t="inlineStr"/>
      <c r="M47" s="22" t="inlineStr"/>
    </row>
    <row r="48">
      <c r="A48" s="12" t="inlineStr">
        <is>
          <t>3A.4</t>
        </is>
      </c>
      <c r="B48" s="13" t="inlineStr">
        <is>
          <t>Epic 3</t>
        </is>
      </c>
      <c r="C48" s="13" t="inlineStr">
        <is>
          <t>3A Baseline</t>
        </is>
      </c>
      <c r="D48" s="22" t="inlineStr">
        <is>
          <t>Baseline Metrics Report</t>
        </is>
      </c>
      <c r="E48" s="13" t="inlineStr">
        <is>
          <t>AI Engineer 3</t>
        </is>
      </c>
      <c r="F48" s="13" t="inlineStr">
        <is>
          <t>P1</t>
        </is>
      </c>
      <c r="G48" s="13" t="inlineStr">
        <is>
          <t>Sprint 3</t>
        </is>
      </c>
      <c r="H48" s="13" t="inlineStr">
        <is>
          <t>backlog</t>
        </is>
      </c>
      <c r="I48" s="22" t="inlineStr">
        <is>
          <t>3A.2, 3A.3</t>
        </is>
      </c>
      <c r="J48" s="22" t="inlineStr">
        <is>
          <t>Sinh docs/metrics/baseline.md gồm: p50/p95/p99 latency (ms), peak RSS (MB), FLOPs estimate. Commit + git tag baseline-v0. Đây là ngưỡng để tracks 3B/3C/3D so sánh và story 3E.1 enable gate 30ms.</t>
        </is>
      </c>
      <c r="K48" s="13" t="inlineStr"/>
      <c r="L48" s="13" t="inlineStr"/>
      <c r="M48" s="22" t="inlineStr"/>
    </row>
    <row r="49">
      <c r="A49" s="12" t="inlineStr">
        <is>
          <t>3B.1</t>
        </is>
      </c>
      <c r="B49" s="13" t="inlineStr">
        <is>
          <t>Epic 3</t>
        </is>
      </c>
      <c r="C49" s="13" t="inlineStr">
        <is>
          <t>3B Bond Dim</t>
        </is>
      </c>
      <c r="D49" s="22" t="inlineStr">
        <is>
          <t>Runner Bond Dimension sweep</t>
        </is>
      </c>
      <c r="E49" s="13" t="inlineStr">
        <is>
          <t>AI Engineer 4</t>
        </is>
      </c>
      <c r="F49" s="13" t="inlineStr">
        <is>
          <t>P1</t>
        </is>
      </c>
      <c r="G49" s="13" t="inlineStr">
        <is>
          <t>Sprint 3</t>
        </is>
      </c>
      <c r="H49" s="13" t="inlineStr">
        <is>
          <t>backlog</t>
        </is>
      </c>
      <c r="I49" s="22" t="inlineStr">
        <is>
          <t>3A.4</t>
        </is>
      </c>
      <c r="J49" s="22" t="inlineStr">
        <is>
          <t>Viết tools/sweep_bond_dim.py chạy forward MPS với bond_dim ∈ {8, 16, 32, 64}, đo latency + accuracy vs baseline. Kết quả ghi vào results/bond_sweep.csv. Hỗ trợ --resume để không chạy lại config đã có. Test: chạy full sweep &lt; 15 phút CPU.</t>
        </is>
      </c>
      <c r="K49" s="13" t="inlineStr"/>
      <c r="L49" s="13" t="inlineStr"/>
      <c r="M49" s="22" t="inlineStr"/>
    </row>
    <row r="50">
      <c r="A50" s="12" t="inlineStr">
        <is>
          <t>3B.2</t>
        </is>
      </c>
      <c r="B50" s="13" t="inlineStr">
        <is>
          <t>Epic 3</t>
        </is>
      </c>
      <c r="C50" s="13" t="inlineStr">
        <is>
          <t>3B Bond Dim</t>
        </is>
      </c>
      <c r="D50" s="22" t="inlineStr">
        <is>
          <t>Trade-off Matrix Generator</t>
        </is>
      </c>
      <c r="E50" s="13" t="inlineStr">
        <is>
          <t>AI Engineer 4</t>
        </is>
      </c>
      <c r="F50" s="13" t="inlineStr">
        <is>
          <t>P1</t>
        </is>
      </c>
      <c r="G50" s="13" t="inlineStr">
        <is>
          <t>Sprint 3</t>
        </is>
      </c>
      <c r="H50" s="13" t="inlineStr">
        <is>
          <t>backlog</t>
        </is>
      </c>
      <c r="I50" s="22" t="inlineStr">
        <is>
          <t>3B.1</t>
        </is>
      </c>
      <c r="J50" s="22" t="inlineStr">
        <is>
          <t>Đọc bond_sweep.csv → tính Pareto front (latency vs accuracy). Weighted recommendation: score = 0.6×(1-latency/baseline) + 0.4×accuracy. Output docs/mps/bond_recommendation.md nêu bond_dim đề xuất + lý do.</t>
        </is>
      </c>
      <c r="K50" s="13" t="inlineStr"/>
      <c r="L50" s="13" t="inlineStr"/>
      <c r="M50" s="22" t="inlineStr"/>
    </row>
    <row r="51">
      <c r="A51" s="12" t="inlineStr">
        <is>
          <t>3B.3</t>
        </is>
      </c>
      <c r="B51" s="13" t="inlineStr">
        <is>
          <t>Epic 3</t>
        </is>
      </c>
      <c r="C51" s="13" t="inlineStr">
        <is>
          <t>3B Bond Dim</t>
        </is>
      </c>
      <c r="D51" s="22" t="inlineStr">
        <is>
          <t>Visualization Accuracy vs Speed</t>
        </is>
      </c>
      <c r="E51" s="13" t="inlineStr">
        <is>
          <t>AI Engineer 4</t>
        </is>
      </c>
      <c r="F51" s="13" t="inlineStr">
        <is>
          <t>P2</t>
        </is>
      </c>
      <c r="G51" s="13" t="inlineStr">
        <is>
          <t>Sprint 4</t>
        </is>
      </c>
      <c r="H51" s="13" t="inlineStr">
        <is>
          <t>backlog</t>
        </is>
      </c>
      <c r="I51" s="22" t="inlineStr">
        <is>
          <t>3B.1</t>
        </is>
      </c>
      <c r="J51" s="22" t="inlineStr">
        <is>
          <t>Sinh pareto.png (matplotlib) + pareto_interactive.html (plotly) hover xem chi tiết mỗi config. Deploy vào docs/mps/. CI job attach artifact.</t>
        </is>
      </c>
      <c r="K51" s="13" t="inlineStr"/>
      <c r="L51" s="13" t="inlineStr"/>
      <c r="M51" s="22" t="inlineStr"/>
    </row>
    <row r="52">
      <c r="A52" s="12" t="inlineStr">
        <is>
          <t>3C.1</t>
        </is>
      </c>
      <c r="B52" s="13" t="inlineStr">
        <is>
          <t>Epic 3</t>
        </is>
      </c>
      <c r="C52" s="13" t="inlineStr">
        <is>
          <t>3C SVD Truncation</t>
        </is>
      </c>
      <c r="D52" s="22" t="inlineStr">
        <is>
          <t>Wrapper SVD Decomposition</t>
        </is>
      </c>
      <c r="E52" s="13" t="inlineStr">
        <is>
          <t>AI Engineer 5</t>
        </is>
      </c>
      <c r="F52" s="13" t="inlineStr">
        <is>
          <t>P1</t>
        </is>
      </c>
      <c r="G52" s="13" t="inlineStr">
        <is>
          <t>Sprint 3</t>
        </is>
      </c>
      <c r="H52" s="13" t="inlineStr">
        <is>
          <t>backlog</t>
        </is>
      </c>
      <c r="I52" s="22" t="inlineStr">
        <is>
          <t>0.2</t>
        </is>
      </c>
      <c r="J52" s="22" t="inlineStr">
        <is>
          <t>Viết engine/mps/svd.py: hàm truncate(tensor, rank) dùng torch.linalg.svd giữ top-rank singular values. Đo reconstruction error (frobenius). AC: error &lt; 5% cho rank=min(N)/2; benchmark &lt; 3ms cho tensor 50×50.</t>
        </is>
      </c>
      <c r="K52" s="13" t="inlineStr"/>
      <c r="L52" s="13" t="inlineStr"/>
      <c r="M52" s="22" t="inlineStr"/>
    </row>
    <row r="53">
      <c r="A53" s="12" t="inlineStr">
        <is>
          <t>3C.2</t>
        </is>
      </c>
      <c r="B53" s="13" t="inlineStr">
        <is>
          <t>Epic 3</t>
        </is>
      </c>
      <c r="C53" s="13" t="inlineStr">
        <is>
          <t>3C SVD Truncation</t>
        </is>
      </c>
      <c r="D53" s="22" t="inlineStr">
        <is>
          <t>Auto-select Truncation Threshold</t>
        </is>
      </c>
      <c r="E53" s="13" t="inlineStr">
        <is>
          <t>AI Engineer 5</t>
        </is>
      </c>
      <c r="F53" s="13" t="inlineStr">
        <is>
          <t>P1</t>
        </is>
      </c>
      <c r="G53" s="13" t="inlineStr">
        <is>
          <t>Sprint 3</t>
        </is>
      </c>
      <c r="H53" s="13" t="inlineStr">
        <is>
          <t>backlog</t>
        </is>
      </c>
      <c r="I53" s="22" t="inlineStr">
        <is>
          <t>3C.1</t>
        </is>
      </c>
      <c r="J53" s="22" t="inlineStr">
        <is>
          <t>Viết select_rank_by_energy(tensor, threshold=0.95): tự chọn rank nhỏ nhất giữ được 95% năng lượng (cumsum singular values² / total). Test 20 tensor random: verify energy ≥ 0.95 sau truncate.</t>
        </is>
      </c>
      <c r="K53" s="13" t="inlineStr"/>
      <c r="L53" s="13" t="inlineStr"/>
      <c r="M53" s="22" t="inlineStr"/>
    </row>
    <row r="54">
      <c r="A54" s="12" t="inlineStr">
        <is>
          <t>3C.3</t>
        </is>
      </c>
      <c r="B54" s="13" t="inlineStr">
        <is>
          <t>Epic 3</t>
        </is>
      </c>
      <c r="C54" s="13" t="inlineStr">
        <is>
          <t>3C SVD Truncation</t>
        </is>
      </c>
      <c r="D54" s="22" t="inlineStr">
        <is>
          <t>Recompression Pipeline</t>
        </is>
      </c>
      <c r="E54" s="13" t="inlineStr">
        <is>
          <t>AI Engineer 5</t>
        </is>
      </c>
      <c r="F54" s="13" t="inlineStr">
        <is>
          <t>P1</t>
        </is>
      </c>
      <c r="G54" s="13" t="inlineStr">
        <is>
          <t>Sprint 4</t>
        </is>
      </c>
      <c r="H54" s="13" t="inlineStr">
        <is>
          <t>backlog</t>
        </is>
      </c>
      <c r="I54" s="22" t="inlineStr">
        <is>
          <t>3C.1, 3C.2, 3A.4</t>
        </is>
      </c>
      <c r="J54" s="22" t="inlineStr">
        <is>
          <t>Tích hợp SVD truncation vào forward pass MPS: sau mỗi contraction step áp truncate với threshold tự chọn. Benchmark so với baseline 3A.4: p95 giảm ≥ 40%, accuracy loss (delta fragility score) &lt; 5%. Report vào docs/mps/svd_impact.md.</t>
        </is>
      </c>
      <c r="K54" s="13" t="inlineStr"/>
      <c r="L54" s="13" t="inlineStr"/>
      <c r="M54" s="22" t="inlineStr"/>
    </row>
    <row r="55">
      <c r="A55" s="12" t="inlineStr">
        <is>
          <t>3C.4</t>
        </is>
      </c>
      <c r="B55" s="13" t="inlineStr">
        <is>
          <t>Epic 3</t>
        </is>
      </c>
      <c r="C55" s="13" t="inlineStr">
        <is>
          <t>3C SVD Truncation</t>
        </is>
      </c>
      <c r="D55" s="22" t="inlineStr">
        <is>
          <t>Numerical Stability Guard</t>
        </is>
      </c>
      <c r="E55" s="13" t="inlineStr">
        <is>
          <t>AI Engineer 5</t>
        </is>
      </c>
      <c r="F55" s="13" t="inlineStr">
        <is>
          <t>P1</t>
        </is>
      </c>
      <c r="G55" s="13" t="inlineStr">
        <is>
          <t>Sprint 4</t>
        </is>
      </c>
      <c r="H55" s="13" t="inlineStr">
        <is>
          <t>backlog</t>
        </is>
      </c>
      <c r="I55" s="22" t="inlineStr">
        <is>
          <t>3C.3</t>
        </is>
      </c>
      <c r="J55" s="22" t="inlineStr">
        <is>
          <t>Xử lý rank-deficient (singular value &lt; 1e-10): pad zero, log WARNING kèm tensor shape + condition number. Test với ma trận cố tình singular: không crash, output fragility vẫn ∈ [0, 100].</t>
        </is>
      </c>
      <c r="K55" s="13" t="inlineStr"/>
      <c r="L55" s="13" t="inlineStr"/>
      <c r="M55" s="22" t="inlineStr"/>
    </row>
    <row r="56">
      <c r="A56" s="12" t="inlineStr">
        <is>
          <t>3D.1</t>
        </is>
      </c>
      <c r="B56" s="13" t="inlineStr">
        <is>
          <t>Epic 3</t>
        </is>
      </c>
      <c r="C56" s="13" t="inlineStr">
        <is>
          <t>3D Kernel Opt</t>
        </is>
      </c>
      <c r="D56" s="22" t="inlineStr">
        <is>
          <t>Path Optimizer với opt_einsum</t>
        </is>
      </c>
      <c r="E56" s="13" t="inlineStr">
        <is>
          <t>AI Engineer 6</t>
        </is>
      </c>
      <c r="F56" s="13" t="inlineStr">
        <is>
          <t>P1</t>
        </is>
      </c>
      <c r="G56" s="13" t="inlineStr">
        <is>
          <t>Sprint 3</t>
        </is>
      </c>
      <c r="H56" s="13" t="inlineStr">
        <is>
          <t>backlog</t>
        </is>
      </c>
      <c r="I56" s="22" t="inlineStr">
        <is>
          <t>3A.1</t>
        </is>
      </c>
      <c r="J56" s="22" t="inlineStr">
        <is>
          <t>Thay torch.einsum bằng opt_einsum.contract với optimize='dp'. Đo FLOPs giảm bao nhiêu (opt_einsum.contract_path). AC: FLOPs -30% so baseline, latency giảm tương ứng ±10%. Cache path (tensor shape signature → path) để tránh re-plan.</t>
        </is>
      </c>
      <c r="K56" s="13" t="inlineStr"/>
      <c r="L56" s="13" t="inlineStr"/>
      <c r="M56" s="22" t="inlineStr"/>
    </row>
    <row r="57">
      <c r="A57" s="12" t="inlineStr">
        <is>
          <t>3D.2</t>
        </is>
      </c>
      <c r="B57" s="13" t="inlineStr">
        <is>
          <t>Epic 3</t>
        </is>
      </c>
      <c r="C57" s="13" t="inlineStr">
        <is>
          <t>3D Kernel Opt</t>
        </is>
      </c>
      <c r="D57" s="22" t="inlineStr">
        <is>
          <t>TorchScript Compilation</t>
        </is>
      </c>
      <c r="E57" s="13" t="inlineStr">
        <is>
          <t>AI Engineer 6</t>
        </is>
      </c>
      <c r="F57" s="13" t="inlineStr">
        <is>
          <t>P2</t>
        </is>
      </c>
      <c r="G57" s="13" t="inlineStr">
        <is>
          <t>Sprint 4</t>
        </is>
      </c>
      <c r="H57" s="13" t="inlineStr">
        <is>
          <t>backlog</t>
        </is>
      </c>
      <c r="I57" s="22" t="inlineStr">
        <is>
          <t>3A.1</t>
        </is>
      </c>
      <c r="J57" s="22" t="inlineStr">
        <is>
          <t>Torch.jit.script forward function. Benchmark: p95 giảm ≥ 15% so với eager. Output tolerance vs eager: 1e-6 (nới từ bit-identical vì TS có drift). Fallback nếu compile fail → eager mode + log.</t>
        </is>
      </c>
      <c r="K57" s="13" t="inlineStr"/>
      <c r="L57" s="13" t="inlineStr"/>
      <c r="M57" s="22" t="inlineStr"/>
    </row>
    <row r="58">
      <c r="A58" s="12" t="inlineStr">
        <is>
          <t>3D.3</t>
        </is>
      </c>
      <c r="B58" s="13" t="inlineStr">
        <is>
          <t>Epic 3</t>
        </is>
      </c>
      <c r="C58" s="13" t="inlineStr">
        <is>
          <t>3D Kernel Opt</t>
        </is>
      </c>
      <c r="D58" s="22" t="inlineStr">
        <is>
          <t>Tensor Reuse &amp; Cache Warmup</t>
        </is>
      </c>
      <c r="E58" s="13" t="inlineStr">
        <is>
          <t>AI Engineer 6</t>
        </is>
      </c>
      <c r="F58" s="13" t="inlineStr">
        <is>
          <t>P2</t>
        </is>
      </c>
      <c r="G58" s="13" t="inlineStr">
        <is>
          <t>Sprint 4</t>
        </is>
      </c>
      <c r="H58" s="13" t="inlineStr">
        <is>
          <t>backlog</t>
        </is>
      </c>
      <c r="I58" s="22" t="inlineStr">
        <is>
          <t>3A.1</t>
        </is>
      </c>
      <c r="J58" s="22" t="inlineStr">
        <is>
          <t>Pre-allocate buffer tensor tái sử dụng qua các forward pass (torch.empty reuse). Warmup 10 iter khi startup. Đo allocation count via torch.cuda.memory_stats trên CPU tương đương: giảm ≥ 50%; verify RSS không tăng theo thời gian (leak-free).</t>
        </is>
      </c>
      <c r="K58" s="13" t="inlineStr"/>
      <c r="L58" s="13" t="inlineStr"/>
      <c r="M58" s="22" t="inlineStr"/>
    </row>
    <row r="59">
      <c r="A59" s="12" t="inlineStr">
        <is>
          <t>3E.1</t>
        </is>
      </c>
      <c r="B59" s="13" t="inlineStr">
        <is>
          <t>Epic 3</t>
        </is>
      </c>
      <c r="C59" s="13" t="inlineStr">
        <is>
          <t>3E E2E Gate</t>
        </is>
      </c>
      <c r="D59" s="22" t="inlineStr">
        <is>
          <t>Gate: MPS Forward Pass &lt; 30ms</t>
        </is>
      </c>
      <c r="E59" s="13" t="inlineStr">
        <is>
          <t>AI Lead</t>
        </is>
      </c>
      <c r="F59" s="13" t="inlineStr">
        <is>
          <t>P1</t>
        </is>
      </c>
      <c r="G59" s="13" t="inlineStr">
        <is>
          <t>Sprint 5</t>
        </is>
      </c>
      <c r="H59" s="13" t="inlineStr">
        <is>
          <t>backlog</t>
        </is>
      </c>
      <c r="I59" s="22" t="inlineStr">
        <is>
          <t>3B.2, 3C.4, 3D.3</t>
        </is>
      </c>
      <c r="J59" s="22" t="inlineStr">
        <is>
          <t>Enable CI gate: chạy forward pipeline (2B → 3B config chọn → 3C + 3D optimize), fail nếu p95 &gt; 30ms trên graph N=50. Chỉ enable sau khi 3A.4 baseline commit. Ghi threshold vào .github/workflows/perf-gate.yml.</t>
        </is>
      </c>
      <c r="K59" s="13" t="inlineStr"/>
      <c r="L59" s="13" t="inlineStr"/>
      <c r="M59" s="22" t="inlineStr"/>
    </row>
    <row r="60">
      <c r="A60" s="12" t="inlineStr">
        <is>
          <t>3E.2</t>
        </is>
      </c>
      <c r="B60" s="13" t="inlineStr">
        <is>
          <t>Epic 3</t>
        </is>
      </c>
      <c r="C60" s="13" t="inlineStr">
        <is>
          <t>3E E2E Gate</t>
        </is>
      </c>
      <c r="D60" s="22" t="inlineStr">
        <is>
          <t>Regression Suite</t>
        </is>
      </c>
      <c r="E60" s="13" t="inlineStr">
        <is>
          <t>AI Lead</t>
        </is>
      </c>
      <c r="F60" s="13" t="inlineStr">
        <is>
          <t>P1</t>
        </is>
      </c>
      <c r="G60" s="13" t="inlineStr">
        <is>
          <t>Sprint 5</t>
        </is>
      </c>
      <c r="H60" s="13" t="inlineStr">
        <is>
          <t>backlog</t>
        </is>
      </c>
      <c r="I60" s="22" t="inlineStr">
        <is>
          <t>3E.1</t>
        </is>
      </c>
      <c r="J60" s="22" t="inlineStr">
        <is>
          <t>Bộ 20 fixture graph (đa dạng size N=10..200) → chạy full MPS pipeline → verify output nằm trong tolerance so với snapshot (regression file). Bảo vệ khỏi drift. Ghi docs/mps/optimized.md, git tag mps-optimized-v1.</t>
        </is>
      </c>
      <c r="K60" s="13" t="inlineStr"/>
      <c r="L60" s="13" t="inlineStr"/>
      <c r="M60" s="22" t="inlineStr"/>
    </row>
    <row r="61">
      <c r="A61" s="12" t="inlineStr">
        <is>
          <t>4R.1</t>
        </is>
      </c>
      <c r="B61" s="13" t="inlineStr">
        <is>
          <t>Epic 4</t>
        </is>
      </c>
      <c r="C61" s="13" t="inlineStr">
        <is>
          <t>4R Research</t>
        </is>
      </c>
      <c r="D61" s="22" t="inlineStr">
        <is>
          <t>Latency Budget E2E (&lt;50ms)</t>
        </is>
      </c>
      <c r="E61" s="13" t="inlineStr">
        <is>
          <t>Architect</t>
        </is>
      </c>
      <c r="F61" s="13" t="inlineStr">
        <is>
          <t>P0</t>
        </is>
      </c>
      <c r="G61" s="13" t="inlineStr">
        <is>
          <t>Sprint 2</t>
        </is>
      </c>
      <c r="H61" s="13" t="inlineStr">
        <is>
          <t>ready-for-dev</t>
        </is>
      </c>
      <c r="I61" s="22" t="inlineStr">
        <is>
          <t>-</t>
        </is>
      </c>
      <c r="J61" s="22" t="inlineStr">
        <is>
          <t>[RESEARCH] Phân bổ NFR1 &lt;50ms cho từng stage (WS→decode→buffer→graph→tensor→MPS→payload→webhook), tổng ≤50ms + buffer → research/latency_budget.md. Thành target cho gate 3E.1/5.3/6.1. CHẶN mọi perf gate.</t>
        </is>
      </c>
      <c r="K61" s="13" t="n"/>
      <c r="L61" s="13" t="n"/>
      <c r="M61" s="22" t="n"/>
    </row>
    <row r="62">
      <c r="A62" s="12" t="inlineStr">
        <is>
          <t>4R.2</t>
        </is>
      </c>
      <c r="B62" s="13" t="inlineStr">
        <is>
          <t>Epic 4</t>
        </is>
      </c>
      <c r="C62" s="13" t="inlineStr">
        <is>
          <t>4R Research</t>
        </is>
      </c>
      <c r="D62" s="22" t="inlineStr">
        <is>
          <t>IPC Spike (SharedMemory/Queue/Pipe)</t>
        </is>
      </c>
      <c r="E62" s="13" t="inlineStr">
        <is>
          <t>Architect</t>
        </is>
      </c>
      <c r="F62" s="13" t="inlineStr">
        <is>
          <t>P1</t>
        </is>
      </c>
      <c r="G62" s="13" t="inlineStr">
        <is>
          <t>Sprint 2</t>
        </is>
      </c>
      <c r="H62" s="13" t="inlineStr">
        <is>
          <t>backlog</t>
        </is>
      </c>
      <c r="I62" s="22" t="inlineStr">
        <is>
          <t>-</t>
        </is>
      </c>
      <c r="J62" s="22" t="inlineStr">
        <is>
          <t>[RESEARCH] Benchmark overhead serialize tensor/graph qua SharedMemory vs Queue vs Pipe cho main↔engine → research/ipc_decision.md. Khớp latency budget 4R.1. CHẶN 4.3.</t>
        </is>
      </c>
      <c r="K62" s="13" t="n"/>
      <c r="L62" s="13" t="n"/>
      <c r="M62" s="22" t="n"/>
    </row>
    <row r="63">
      <c r="A63" s="12" t="inlineStr">
        <is>
          <t>4R.3</t>
        </is>
      </c>
      <c r="B63" s="13" t="inlineStr">
        <is>
          <t>Epic 4</t>
        </is>
      </c>
      <c r="C63" s="13" t="inlineStr">
        <is>
          <t>4R Research</t>
        </is>
      </c>
      <c r="D63" s="22" t="inlineStr">
        <is>
          <t>Failure Mode &amp; Recovery (FMEA)</t>
        </is>
      </c>
      <c r="E63" s="13" t="inlineStr">
        <is>
          <t>Architect</t>
        </is>
      </c>
      <c r="F63" s="13" t="inlineStr">
        <is>
          <t>P1</t>
        </is>
      </c>
      <c r="G63" s="13" t="inlineStr">
        <is>
          <t>Sprint 2</t>
        </is>
      </c>
      <c r="H63" s="13" t="inlineStr">
        <is>
          <t>backlog</t>
        </is>
      </c>
      <c r="I63" s="22" t="inlineStr">
        <is>
          <t>-</t>
        </is>
      </c>
      <c r="J63" s="22" t="inlineStr">
        <is>
          <t>[RESEARCH] FMEA: WS đứt, engine crash, queue overflow, data malformed, webhook timeout — mỗi mode (nguyên nhân, phát hiện, hành vi kỳ vọng, recovery) → research/failure_modes.md. Map mỗi mode tới story build (1A.3, 4.4...).</t>
        </is>
      </c>
      <c r="K63" s="13" t="n"/>
      <c r="L63" s="13" t="n"/>
      <c r="M63" s="22" t="n"/>
    </row>
    <row r="64">
      <c r="A64" s="12" t="inlineStr">
        <is>
          <t>4R.4</t>
        </is>
      </c>
      <c r="B64" s="13" t="inlineStr">
        <is>
          <t>Epic 4</t>
        </is>
      </c>
      <c r="C64" s="13" t="inlineStr">
        <is>
          <t>4R Research</t>
        </is>
      </c>
      <c r="D64" s="22" t="inlineStr">
        <is>
          <t>Sơ đồ Data-Flow toàn hệ thống</t>
        </is>
      </c>
      <c r="E64" s="13" t="inlineStr">
        <is>
          <t>Architect</t>
        </is>
      </c>
      <c r="F64" s="13" t="inlineStr">
        <is>
          <t>P1</t>
        </is>
      </c>
      <c r="G64" s="13" t="inlineStr">
        <is>
          <t>Sprint 2</t>
        </is>
      </c>
      <c r="H64" s="13" t="inlineStr">
        <is>
          <t>backlog</t>
        </is>
      </c>
      <c r="I64" s="22" t="inlineStr">
        <is>
          <t>-</t>
        </is>
      </c>
      <c r="J64" s="22" t="inlineStr">
        <is>
          <t>[RESEARCH] Diagram mermaid toàn pipeline + kiểu dữ liệu mỗi ranh giới (TickDataEvent, GraphSnapshot, tensor, FragilityPayload), đánh dấu ranh giới process (asyncio main vs engine) → docs/data_flow.md.</t>
        </is>
      </c>
      <c r="K64" s="13" t="n"/>
      <c r="L64" s="13" t="n"/>
      <c r="M64" s="22" t="n"/>
    </row>
    <row r="65">
      <c r="A65" s="12" t="inlineStr">
        <is>
          <t>4.1</t>
        </is>
      </c>
      <c r="B65" s="13" t="inlineStr">
        <is>
          <t>Epic 4</t>
        </is>
      </c>
      <c r="C65" s="13" t="inlineStr">
        <is>
          <t>Calibration</t>
        </is>
      </c>
      <c r="D65" s="22" t="inlineStr">
        <is>
          <t>Calibrate Fragility trên LUNA/UST</t>
        </is>
      </c>
      <c r="E65" s="13" t="inlineStr">
        <is>
          <t>Risk Manager + Quants</t>
        </is>
      </c>
      <c r="F65" s="13" t="inlineStr">
        <is>
          <t>P0</t>
        </is>
      </c>
      <c r="G65" s="13" t="inlineStr">
        <is>
          <t>Sprint 5</t>
        </is>
      </c>
      <c r="H65" s="13" t="inlineStr">
        <is>
          <t>backlog</t>
        </is>
      </c>
      <c r="I65" s="22" t="inlineStr">
        <is>
          <t>3E.2, 1D.3</t>
        </is>
      </c>
      <c r="J65" s="22" t="inlineStr">
        <is>
          <t>Replay fixture LUNA (0.4) qua pipeline. Tune tham số sigmoid / threshold sao cho: (a) alert RED (score ≥ 90) fire ≥ 10 phút trước block liquidation đầu tiên (2022-05-09 03:34 UTC), (b) false positive trong 7 ngày control &lt; 5%. Ghi tham số cuối vào config/fragility_params.yaml + docs/calibration_luna.md kèm biểu đồ score theo time.</t>
        </is>
      </c>
      <c r="K65" s="13" t="inlineStr"/>
      <c r="L65" s="13" t="inlineStr"/>
      <c r="M65" s="22" t="inlineStr"/>
    </row>
    <row r="66">
      <c r="A66" s="12" t="inlineStr">
        <is>
          <t>4.2</t>
        </is>
      </c>
      <c r="B66" s="13" t="inlineStr">
        <is>
          <t>Epic 4</t>
        </is>
      </c>
      <c r="C66" s="13" t="inlineStr">
        <is>
          <t>Calibration</t>
        </is>
      </c>
      <c r="D66" s="22" t="inlineStr">
        <is>
          <t>Cross-validate với FTX</t>
        </is>
      </c>
      <c r="E66" s="13" t="inlineStr">
        <is>
          <t>Risk Manager</t>
        </is>
      </c>
      <c r="F66" s="13" t="inlineStr">
        <is>
          <t>P0</t>
        </is>
      </c>
      <c r="G66" s="13" t="inlineStr">
        <is>
          <t>Sprint 5</t>
        </is>
      </c>
      <c r="H66" s="13" t="inlineStr">
        <is>
          <t>backlog</t>
        </is>
      </c>
      <c r="I66" s="22" t="inlineStr">
        <is>
          <t>4.1</t>
        </is>
      </c>
      <c r="J66" s="22" t="inlineStr">
        <is>
          <t>Dùng CHÍNH XÁC tham số từ 4.1 (không tune lại), replay fixture FTX. AC: RED fire ≥ 10 phút trước block liquidation FTX chain, FP &lt; 5%. Nếu fail → phân tích khác biệt và document (không được đổi tham số riêng cho FTX).</t>
        </is>
      </c>
      <c r="K66" s="13" t="inlineStr"/>
      <c r="L66" s="13" t="inlineStr"/>
      <c r="M66" s="22" t="inlineStr"/>
    </row>
    <row r="67">
      <c r="A67" s="12" t="inlineStr">
        <is>
          <t>4.3</t>
        </is>
      </c>
      <c r="B67" s="13" t="inlineStr">
        <is>
          <t>Epic 4</t>
        </is>
      </c>
      <c r="C67" s="13" t="inlineStr">
        <is>
          <t>Isolation</t>
        </is>
      </c>
      <c r="D67" s="22" t="inlineStr">
        <is>
          <t>Multiprocessing Wrapper cho MPS Engine</t>
        </is>
      </c>
      <c r="E67" s="13" t="inlineStr">
        <is>
          <t>System Architect</t>
        </is>
      </c>
      <c r="F67" s="13" t="inlineStr">
        <is>
          <t>P1</t>
        </is>
      </c>
      <c r="G67" s="13" t="inlineStr">
        <is>
          <t>Sprint 5</t>
        </is>
      </c>
      <c r="H67" s="13" t="inlineStr">
        <is>
          <t>backlog</t>
        </is>
      </c>
      <c r="I67" s="22" t="inlineStr">
        <is>
          <t>3E.2</t>
        </is>
      </c>
      <c r="J67" s="22" t="inlineStr">
        <is>
          <t>Chạy MPS forward trong multiprocessing.Process riêng, giao tiếp qua multiprocessing.Queue hoặc SharedMemory. Verify PID khác main. Main loop chỉ đợi result async, response time &lt; 5ms khi engine đang bận. Test: kill engine PID → main tự restart engine trong 2s.</t>
        </is>
      </c>
      <c r="K67" s="13" t="inlineStr"/>
      <c r="L67" s="13" t="inlineStr"/>
      <c r="M67" s="22" t="inlineStr"/>
    </row>
    <row r="68">
      <c r="A68" s="12" t="inlineStr">
        <is>
          <t>4.4</t>
        </is>
      </c>
      <c r="B68" s="13" t="inlineStr">
        <is>
          <t>Epic 4</t>
        </is>
      </c>
      <c r="C68" s="13" t="inlineStr">
        <is>
          <t>Isolation</t>
        </is>
      </c>
      <c r="D68" s="22" t="inlineStr">
        <is>
          <t>Backpressure &amp; Circuit Breaker (confirm scope)</t>
        </is>
      </c>
      <c r="E68" s="13" t="inlineStr">
        <is>
          <t>System Architect</t>
        </is>
      </c>
      <c r="F68" s="13" t="inlineStr">
        <is>
          <t>P2</t>
        </is>
      </c>
      <c r="G68" s="13" t="inlineStr">
        <is>
          <t>Sprint 6</t>
        </is>
      </c>
      <c r="H68" s="13" t="inlineStr">
        <is>
          <t>backlog</t>
        </is>
      </c>
      <c r="I68" s="22" t="inlineStr">
        <is>
          <t>4.3</t>
        </is>
      </c>
      <c r="J68" s="22" t="inlineStr">
        <is>
          <t>Nếu queue MPS ≥ 80% capacity → drop frame cũ nhất, log WARNING. Circuit breaker: nếu 3 forward liên tiếp &gt; 100ms → mở circuit 30s (skip forward, giữ score cũ). Verify p99 latency &lt; 60ms dưới load 2x throughput. LƯU Ý: story này ngoài SPEC gốc, confirm với PM trước Sprint 6.</t>
        </is>
      </c>
      <c r="K68" s="13" t="inlineStr"/>
      <c r="L68" s="13" t="inlineStr"/>
      <c r="M68" s="22" t="inlineStr"/>
    </row>
    <row r="69">
      <c r="A69" s="12" t="inlineStr">
        <is>
          <t>5.1</t>
        </is>
      </c>
      <c r="B69" s="13" t="inlineStr">
        <is>
          <t>Epic 5</t>
        </is>
      </c>
      <c r="C69" s="13" t="inlineStr">
        <is>
          <t>API/Emitter</t>
        </is>
      </c>
      <c r="D69" s="22" t="inlineStr">
        <is>
          <t>FastAPI Subscribe/Unsubscribe</t>
        </is>
      </c>
      <c r="E69" s="13" t="inlineStr">
        <is>
          <t>Backend Engineer</t>
        </is>
      </c>
      <c r="F69" s="13" t="inlineStr">
        <is>
          <t>P1</t>
        </is>
      </c>
      <c r="G69" s="13" t="inlineStr">
        <is>
          <t>Sprint 2</t>
        </is>
      </c>
      <c r="H69" s="13" t="inlineStr">
        <is>
          <t>backlog</t>
        </is>
      </c>
      <c r="I69" s="22" t="inlineStr">
        <is>
          <t>0.3</t>
        </is>
      </c>
      <c r="J69" s="22" t="inlineStr">
        <is>
          <t>Viết emitter/api.py: POST /subscribe {webhook_url, filter?} → trả subscription_id UUID, persist vào file JSON (data/subscriptions.json). DELETE /subscribe/{id} → remove. GET /subscribe → list. Test integration TestClient: subscribe 3 URL, list = 3, delete 1, còn 2. Persist qua restart.</t>
        </is>
      </c>
      <c r="K69" s="13" t="inlineStr"/>
      <c r="L69" s="13" t="inlineStr"/>
      <c r="M69" s="22" t="inlineStr"/>
    </row>
    <row r="70">
      <c r="A70" s="12" t="inlineStr">
        <is>
          <t>5.2</t>
        </is>
      </c>
      <c r="B70" s="13" t="inlineStr">
        <is>
          <t>Epic 5</t>
        </is>
      </c>
      <c r="C70" s="13" t="inlineStr">
        <is>
          <t>API/Emitter</t>
        </is>
      </c>
      <c r="D70" s="22" t="inlineStr">
        <is>
          <t>Formatter JSON Payload</t>
        </is>
      </c>
      <c r="E70" s="13" t="inlineStr">
        <is>
          <t>Backend Engineer</t>
        </is>
      </c>
      <c r="F70" s="13" t="inlineStr">
        <is>
          <t>P1</t>
        </is>
      </c>
      <c r="G70" s="13" t="inlineStr">
        <is>
          <t>Sprint 2</t>
        </is>
      </c>
      <c r="H70" s="13" t="inlineStr">
        <is>
          <t>backlog</t>
        </is>
      </c>
      <c r="I70" s="22" t="inlineStr">
        <is>
          <t>0.3</t>
        </is>
      </c>
      <c r="J70" s="22" t="inlineStr">
        <is>
          <t>Viết emitter/formatter.py: build_payload(fragility_score, trigger_protocols) → dict tuân schema 0.3. Logic alert_level: score ≥ 90 → 'red', 70 ≤ score &lt; 90 → 'yellow', &lt; 70 → không emit. Timestamp ISO 8601 UTC (kết Z). Test: 3 case score, output pass schema validate.</t>
        </is>
      </c>
      <c r="K70" s="13" t="inlineStr"/>
      <c r="L70" s="13" t="inlineStr"/>
      <c r="M70" s="22" t="inlineStr"/>
    </row>
    <row r="71">
      <c r="A71" s="12" t="inlineStr">
        <is>
          <t>5.3</t>
        </is>
      </c>
      <c r="B71" s="13" t="inlineStr">
        <is>
          <t>Epic 5</t>
        </is>
      </c>
      <c r="C71" s="13" t="inlineStr">
        <is>
          <t>API/Emitter</t>
        </is>
      </c>
      <c r="D71" s="22" t="inlineStr">
        <is>
          <t>Async Webhook Emitter</t>
        </is>
      </c>
      <c r="E71" s="13" t="inlineStr">
        <is>
          <t>Backend Engineer</t>
        </is>
      </c>
      <c r="F71" s="13" t="inlineStr">
        <is>
          <t>P1</t>
        </is>
      </c>
      <c r="G71" s="13" t="inlineStr">
        <is>
          <t>Sprint 3</t>
        </is>
      </c>
      <c r="H71" s="13" t="inlineStr">
        <is>
          <t>backlog</t>
        </is>
      </c>
      <c r="I71" s="22" t="inlineStr">
        <is>
          <t>5.1, 5.2</t>
        </is>
      </c>
      <c r="J71" s="22" t="inlineStr">
        <is>
          <t>Viết emitter/webhook.py dùng aiohttp: fan-out payload tới tất cả subscription song song với asyncio.gather. Timeout 5s/URL. Retry 1 lần khi lỗi mạng. Fail cuối → log ERROR + counter webhook_failures_total. Test: 5 subscription, 1 URL trả 500 → 4 success, 1 log error, không block.</t>
        </is>
      </c>
      <c r="K71" s="13" t="inlineStr"/>
      <c r="L71" s="13" t="inlineStr"/>
      <c r="M71" s="22" t="inlineStr"/>
    </row>
    <row r="72">
      <c r="A72" s="12" t="inlineStr">
        <is>
          <t>5.4</t>
        </is>
      </c>
      <c r="B72" s="13" t="inlineStr">
        <is>
          <t>Epic 5</t>
        </is>
      </c>
      <c r="C72" s="13" t="inlineStr">
        <is>
          <t>API/Emitter</t>
        </is>
      </c>
      <c r="D72" s="22" t="inlineStr">
        <is>
          <t>API Authentication (confirm scope)</t>
        </is>
      </c>
      <c r="E72" s="13" t="inlineStr">
        <is>
          <t>Backend Engineer</t>
        </is>
      </c>
      <c r="F72" s="13" t="inlineStr">
        <is>
          <t>P2</t>
        </is>
      </c>
      <c r="G72" s="13" t="inlineStr">
        <is>
          <t>Sprint 4</t>
        </is>
      </c>
      <c r="H72" s="13" t="inlineStr">
        <is>
          <t>backlog</t>
        </is>
      </c>
      <c r="I72" s="22" t="inlineStr">
        <is>
          <t>5.1</t>
        </is>
      </c>
      <c r="J72" s="22" t="inlineStr">
        <is>
          <t>Bảo vệ /subscribe bằng header X-API-Key (env API_KEYS list). Rate limit 100 req/min/key dùng slowapi. Test: no key → 401, key sai → 403, quá limit → 429. LƯU Ý: SPEC gốc chưa yêu cầu, confirm scope trước khi làm.</t>
        </is>
      </c>
      <c r="K72" s="13" t="inlineStr"/>
      <c r="L72" s="13" t="inlineStr"/>
      <c r="M72" s="22" t="inlineStr"/>
    </row>
    <row r="73">
      <c r="A73" s="12" t="inlineStr">
        <is>
          <t>6.1</t>
        </is>
      </c>
      <c r="B73" s="13" t="inlineStr">
        <is>
          <t>Epic 6</t>
        </is>
      </c>
      <c r="C73" s="13" t="inlineStr">
        <is>
          <t>E2E Verify</t>
        </is>
      </c>
      <c r="D73" s="22" t="inlineStr">
        <is>
          <t>Benchmark E2E Latency (NFR1)</t>
        </is>
      </c>
      <c r="E73" s="13" t="inlineStr">
        <is>
          <t>SRE</t>
        </is>
      </c>
      <c r="F73" s="13" t="inlineStr">
        <is>
          <t>P0</t>
        </is>
      </c>
      <c r="G73" s="13" t="inlineStr">
        <is>
          <t>Sprint 6</t>
        </is>
      </c>
      <c r="H73" s="13" t="inlineStr">
        <is>
          <t>backlog</t>
        </is>
      </c>
      <c r="I73" s="22" t="inlineStr">
        <is>
          <t>1E.1, 4.3, 5.3</t>
        </is>
      </c>
      <c r="J73" s="22" t="inlineStr">
        <is>
          <t>Viết tests/e2e/test_latency.py: chạy pipeline đầy đủ (WS → decode → buffer → MPS → webhook receiver mock) trên 10.000 block replay. Đo delta từ block.received_ts đến webhook.sent_ts. AC: p95 &lt; 50ms, p99 &lt; 80ms. Report HTML lưu vào .benchmarks/e2e/.</t>
        </is>
      </c>
      <c r="K73" s="13" t="inlineStr"/>
      <c r="L73" s="13" t="inlineStr"/>
      <c r="M73" s="22" t="inlineStr"/>
    </row>
    <row r="74">
      <c r="A74" s="12" t="inlineStr">
        <is>
          <t>6.2</t>
        </is>
      </c>
      <c r="B74" s="13" t="inlineStr">
        <is>
          <t>Epic 6</t>
        </is>
      </c>
      <c r="C74" s="13" t="inlineStr">
        <is>
          <t>E2E Verify</t>
        </is>
      </c>
      <c r="D74" s="22" t="inlineStr">
        <is>
          <t>Verify No-GPU Runtime (NFR5)</t>
        </is>
      </c>
      <c r="E74" s="13" t="inlineStr">
        <is>
          <t>SRE</t>
        </is>
      </c>
      <c r="F74" s="13" t="inlineStr">
        <is>
          <t>P1</t>
        </is>
      </c>
      <c r="G74" s="13" t="inlineStr">
        <is>
          <t>Sprint 6</t>
        </is>
      </c>
      <c r="H74" s="13" t="inlineStr">
        <is>
          <t>backlog</t>
        </is>
      </c>
      <c r="I74" s="22" t="inlineStr">
        <is>
          <t>4.3</t>
        </is>
      </c>
      <c r="J74" s="22" t="inlineStr">
        <is>
          <t>Thêm CI matrix job runs-on: ubuntu-latest với CUDA disabled (torch.cuda.is_available() = False assert). Chạy full test suite. Verify output MPS forward khớp GPU-off vs GPU-on (nếu có) tolerance 1e-6. Docker image production không cài CUDA runtime (verify size).</t>
        </is>
      </c>
      <c r="K74" s="13" t="inlineStr"/>
      <c r="L74" s="13" t="inlineStr"/>
      <c r="M74" s="22" t="inlineStr"/>
    </row>
    <row r="75">
      <c r="A75" s="12" t="inlineStr">
        <is>
          <t>6.3</t>
        </is>
      </c>
      <c r="B75" s="13" t="inlineStr">
        <is>
          <t>Epic 6</t>
        </is>
      </c>
      <c r="C75" s="13" t="inlineStr">
        <is>
          <t>E2E Verify</t>
        </is>
      </c>
      <c r="D75" s="22" t="inlineStr">
        <is>
          <t>Bằng chứng Success Signal cuối cùng</t>
        </is>
      </c>
      <c r="E75" s="13" t="inlineStr">
        <is>
          <t>PM + SRE</t>
        </is>
      </c>
      <c r="F75" s="13" t="inlineStr">
        <is>
          <t>P0</t>
        </is>
      </c>
      <c r="G75" s="13" t="inlineStr">
        <is>
          <t>Sprint 6</t>
        </is>
      </c>
      <c r="H75" s="13" t="inlineStr">
        <is>
          <t>backlog</t>
        </is>
      </c>
      <c r="I75" s="22" t="inlineStr">
        <is>
          <t>4.1, 4.2, 6.1</t>
        </is>
      </c>
      <c r="J75" s="22" t="inlineStr">
        <is>
          <t>Chạy demo end-to-end trên fixture LUNA và FTX, quay screencast (asciinema/OBS) show: (a) pipeline start, (b) fragility score tăng dần, (c) RED alert fire ≥ 10 phút trước block liquidation, (d) webhook nhận payload đúng schema. Commit vào docs/demo/ + link vào README. Đây là bằng chứng SPEC Success Signal.</t>
        </is>
      </c>
      <c r="K75" s="13" t="inlineStr"/>
      <c r="L75" s="13" t="inlineStr"/>
      <c r="M75" s="22" t="inlineStr"/>
    </row>
  </sheetData>
  <conditionalFormatting sqref="A2:M63">
    <cfRule type="expression" priority="1" dxfId="0">
      <formula>$H2="backlog"</formula>
    </cfRule>
    <cfRule type="expression" priority="2" dxfId="1">
      <formula>$H2="ready-for-dev"</formula>
    </cfRule>
    <cfRule type="expression" priority="3" dxfId="2">
      <formula>$H2="in-progress"</formula>
    </cfRule>
    <cfRule type="expression" priority="4" dxfId="3">
      <formula>$H2="review"</formula>
    </cfRule>
    <cfRule type="expression" priority="5" dxfId="4">
      <formula>$H2="done"</formula>
    </cfRule>
    <cfRule type="expression" priority="6" dxfId="5">
      <formula>$H2="blocked"</formula>
    </cfRule>
  </conditionalFormatting>
  <conditionalFormatting sqref="F2:F63">
    <cfRule type="cellIs" priority="7" operator="equal" dxfId="6">
      <formula>"P0"</formula>
    </cfRule>
    <cfRule type="cellIs" priority="8" operator="equal" dxfId="7">
      <formula>"P1"</formula>
    </cfRule>
  </conditionalFormatting>
  <dataValidations count="3">
    <dataValidation sqref="H2:H75" showDropDown="0" showInputMessage="0" showErrorMessage="0" allowBlank="1" type="list">
      <formula1>"backlog,ready-for-dev,in-progress,review,done,blocked"</formula1>
    </dataValidation>
    <dataValidation sqref="F2:F75" showDropDown="0" showInputMessage="0" showErrorMessage="0" allowBlank="1" type="list">
      <formula1>"P0,P1,P2,P3"</formula1>
    </dataValidation>
    <dataValidation sqref="G2:G75" showDropDown="0" showInputMessage="0" showErrorMessage="0" allowBlank="1" type="list">
      <formula1>"Sprint 1,Sprint 2,Sprint 3,Sprint 4,Sprint 5,Sprint 6"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4" customWidth="1" min="3" max="3"/>
    <col width="32" customWidth="1" min="4" max="4"/>
    <col width="14" customWidth="1" min="5" max="5"/>
    <col width="16" customWidth="1" min="6" max="6"/>
    <col width="40" customWidth="1" min="7" max="7"/>
  </cols>
  <sheetData>
    <row r="1">
      <c r="A1" s="11" t="inlineStr">
        <is>
          <t>Epic</t>
        </is>
      </c>
      <c r="B1" s="11" t="inlineStr">
        <is>
          <t>Focus</t>
        </is>
      </c>
      <c r="C1" s="11" t="inlineStr">
        <is>
          <t>Total Stories</t>
        </is>
      </c>
      <c r="D1" s="11" t="inlineStr">
        <is>
          <t>FRs Covered</t>
        </is>
      </c>
      <c r="E1" s="11" t="inlineStr">
        <is>
          <t>Track Count</t>
        </is>
      </c>
      <c r="F1" s="11" t="inlineStr">
        <is>
          <t>Est. Sprints</t>
        </is>
      </c>
      <c r="G1" s="11" t="inlineStr">
        <is>
          <t>Notes</t>
        </is>
      </c>
    </row>
    <row r="2">
      <c r="A2" s="12" t="inlineStr">
        <is>
          <t>Epic 0</t>
        </is>
      </c>
      <c r="B2" s="22" t="inlineStr">
        <is>
          <t>Contracts &amp; Test Fixtures</t>
        </is>
      </c>
      <c r="C2" s="13" t="n">
        <v>5</v>
      </c>
      <c r="D2" s="22" t="inlineStr">
        <is>
          <t>Partial FR1, FR5 foundation</t>
        </is>
      </c>
      <c r="E2" s="13" t="n">
        <v>1</v>
      </c>
      <c r="F2" s="13" t="inlineStr">
        <is>
          <t>Sprint 1</t>
        </is>
      </c>
      <c r="G2" s="22" t="inlineStr">
        <is>
          <t>GATE cho tất cả song song</t>
        </is>
      </c>
    </row>
    <row r="3">
      <c r="A3" s="12" t="inlineStr">
        <is>
          <t>Epic 1</t>
        </is>
      </c>
      <c r="B3" s="22" t="inlineStr">
        <is>
          <t>Data Ingestion &amp; State</t>
        </is>
      </c>
      <c r="C3" s="13" t="n">
        <v>21</v>
      </c>
      <c r="D3" s="22" t="inlineStr">
        <is>
          <t>FR1, FR2</t>
        </is>
      </c>
      <c r="E3" s="13" t="n">
        <v>6</v>
      </c>
      <c r="F3" s="13" t="inlineStr">
        <is>
          <t>Sprint 2-4</t>
        </is>
      </c>
      <c r="G3" s="22" t="inlineStr">
        <is>
          <t>5 tracks: 1A/1B/1C/1D/1E; +Track 1R (data research)</t>
        </is>
      </c>
    </row>
    <row r="4">
      <c r="A4" s="12" t="inlineStr">
        <is>
          <t>Epic 2</t>
        </is>
      </c>
      <c r="B4" s="22" t="inlineStr">
        <is>
          <t>Tensor Graph Modeling</t>
        </is>
      </c>
      <c r="C4" s="13" t="n">
        <v>13</v>
      </c>
      <c r="D4" s="22" t="inlineStr">
        <is>
          <t>FR3 representation</t>
        </is>
      </c>
      <c r="E4" s="13" t="n">
        <v>4</v>
      </c>
      <c r="F4" s="13" t="inlineStr">
        <is>
          <t>Sprint 2-4</t>
        </is>
      </c>
      <c r="G4" s="22" t="inlineStr">
        <is>
          <t>3 tracks: 2A/2B/2C; +Track 2R (model input)</t>
        </is>
      </c>
    </row>
    <row r="5">
      <c r="A5" s="12" t="inlineStr">
        <is>
          <t>Epic 3</t>
        </is>
      </c>
      <c r="B5" s="22" t="inlineStr">
        <is>
          <t>MPS Algorithm Optimization</t>
        </is>
      </c>
      <c r="C5" s="13" t="n">
        <v>19</v>
      </c>
      <c r="D5" s="22" t="inlineStr">
        <is>
          <t>FR3 computation</t>
        </is>
      </c>
      <c r="E5" s="13" t="n">
        <v>6</v>
      </c>
      <c r="F5" s="13" t="inlineStr">
        <is>
          <t>Sprint 2-5</t>
        </is>
      </c>
      <c r="G5" s="22" t="inlineStr">
        <is>
          <t>5 tracks: 3A/3B/3C/3D/3E; +Track 3R (math, PREREQ)</t>
        </is>
      </c>
    </row>
    <row r="6">
      <c r="A6" s="12" t="inlineStr">
        <is>
          <t>Epic 4</t>
        </is>
      </c>
      <c r="B6" s="22" t="inlineStr">
        <is>
          <t>Risk Calibration &amp; Isolation</t>
        </is>
      </c>
      <c r="C6" s="13" t="n">
        <v>8</v>
      </c>
      <c r="D6" s="22" t="inlineStr">
        <is>
          <t>FR3 calibration + Success Signal</t>
        </is>
      </c>
      <c r="E6" s="13" t="n">
        <v>3</v>
      </c>
      <c r="F6" s="13" t="inlineStr">
        <is>
          <t>Sprint 5-6</t>
        </is>
      </c>
      <c r="G6" s="22" t="inlineStr">
        <is>
          <t>Cần Epic 3E xong; +4R arch/latency design</t>
        </is>
      </c>
    </row>
    <row r="7">
      <c r="A7" s="12" t="inlineStr">
        <is>
          <t>Epic 5</t>
        </is>
      </c>
      <c r="B7" s="22" t="inlineStr">
        <is>
          <t>Alert System &amp; API</t>
        </is>
      </c>
      <c r="C7" s="13" t="n">
        <v>4</v>
      </c>
      <c r="D7" s="22" t="inlineStr">
        <is>
          <t>FR4, FR5</t>
        </is>
      </c>
      <c r="E7" s="13" t="n">
        <v>1</v>
      </c>
      <c r="F7" s="13" t="inlineStr">
        <is>
          <t>Sprint 2-4</t>
        </is>
      </c>
      <c r="G7" s="22" t="inlineStr">
        <is>
          <t>Song song từ Sprint 2 (dùng mock)</t>
        </is>
      </c>
    </row>
    <row r="8">
      <c r="A8" s="12" t="inlineStr">
        <is>
          <t>Epic 6</t>
        </is>
      </c>
      <c r="B8" s="22" t="inlineStr">
        <is>
          <t>E2E Verification &amp; NFR Audit</t>
        </is>
      </c>
      <c r="C8" s="13" t="n">
        <v>3</v>
      </c>
      <c r="D8" s="22" t="inlineStr">
        <is>
          <t>NFR1, NFR5, Success Signal</t>
        </is>
      </c>
      <c r="E8" s="13" t="n">
        <v>1</v>
      </c>
      <c r="F8" s="13" t="inlineStr">
        <is>
          <t>Sprint 6</t>
        </is>
      </c>
      <c r="G8" s="22" t="inlineStr">
        <is>
          <t>Final gate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22" customWidth="1" min="3" max="3"/>
    <col width="22" customWidth="1" min="4" max="4"/>
    <col width="34" customWidth="1" min="5" max="5"/>
    <col width="14" customWidth="1" min="6" max="6"/>
    <col width="14" customWidth="1" min="7" max="7"/>
  </cols>
  <sheetData>
    <row r="1">
      <c r="A1" s="11" t="inlineStr">
        <is>
          <t>Track</t>
        </is>
      </c>
      <c r="B1" s="11" t="inlineStr">
        <is>
          <t>Owner Role</t>
        </is>
      </c>
      <c r="C1" s="11" t="inlineStr">
        <is>
          <t>Assigned To</t>
        </is>
      </c>
      <c r="D1" s="11" t="inlineStr">
        <is>
          <t>Depends On (Epic 0)</t>
        </is>
      </c>
      <c r="E1" s="11" t="inlineStr">
        <is>
          <t>Parallel With</t>
        </is>
      </c>
      <c r="F1" s="11" t="inlineStr">
        <is>
          <t>Stories Count</t>
        </is>
      </c>
      <c r="G1" s="11" t="inlineStr">
        <is>
          <t>Start Sprint</t>
        </is>
      </c>
    </row>
    <row r="2">
      <c r="A2" s="23" t="inlineStr">
        <is>
          <t>Epic 0 Contracts</t>
        </is>
      </c>
      <c r="B2" s="22" t="inlineStr">
        <is>
          <t>Architect + Leads</t>
        </is>
      </c>
      <c r="C2" s="22" t="inlineStr"/>
      <c r="D2" s="22" t="inlineStr">
        <is>
          <t>-</t>
        </is>
      </c>
      <c r="E2" s="22" t="inlineStr">
        <is>
          <t>-</t>
        </is>
      </c>
      <c r="F2" s="13" t="n">
        <v>5</v>
      </c>
      <c r="G2" s="13" t="inlineStr">
        <is>
          <t>Sprint 1</t>
        </is>
      </c>
    </row>
    <row r="3">
      <c r="A3" s="23" t="inlineStr">
        <is>
          <t>Track 1A Realtime WS</t>
        </is>
      </c>
      <c r="B3" s="22" t="inlineStr">
        <is>
          <t>Data Engineer 1</t>
        </is>
      </c>
      <c r="C3" s="22" t="inlineStr"/>
      <c r="D3" s="22" t="inlineStr">
        <is>
          <t>0.1, 0.5</t>
        </is>
      </c>
      <c r="E3" s="22" t="inlineStr">
        <is>
          <t>1B, 1C, 1D, 2*, 3*, 5*</t>
        </is>
      </c>
      <c r="F3" s="13" t="n">
        <v>5</v>
      </c>
      <c r="G3" s="13" t="inlineStr">
        <is>
          <t>Sprint 2</t>
        </is>
      </c>
    </row>
    <row r="4">
      <c r="A4" s="23" t="inlineStr">
        <is>
          <t>Track 1B Event Decoding</t>
        </is>
      </c>
      <c r="B4" s="22" t="inlineStr">
        <is>
          <t>Data Engineer 2</t>
        </is>
      </c>
      <c r="C4" s="22" t="inlineStr"/>
      <c r="D4" s="22" t="inlineStr">
        <is>
          <t>0.1</t>
        </is>
      </c>
      <c r="E4" s="22" t="inlineStr">
        <is>
          <t>1A, 1C, 1D, 2*, 3*, 5*</t>
        </is>
      </c>
      <c r="F4" s="13" t="n">
        <v>4</v>
      </c>
      <c r="G4" s="13" t="inlineStr">
        <is>
          <t>Sprint 2</t>
        </is>
      </c>
    </row>
    <row r="5">
      <c r="A5" s="23" t="inlineStr">
        <is>
          <t>Track 1C Ring Buffer</t>
        </is>
      </c>
      <c r="B5" s="22" t="inlineStr">
        <is>
          <t>Data Engineer 3</t>
        </is>
      </c>
      <c r="C5" s="22" t="inlineStr"/>
      <c r="D5" s="22" t="inlineStr">
        <is>
          <t>0.1</t>
        </is>
      </c>
      <c r="E5" s="22" t="inlineStr">
        <is>
          <t>1A, 1B, 1D, 2*, 3*, 5*</t>
        </is>
      </c>
      <c r="F5" s="13" t="n">
        <v>4</v>
      </c>
      <c r="G5" s="13" t="inlineStr">
        <is>
          <t>Sprint 2</t>
        </is>
      </c>
    </row>
    <row r="6">
      <c r="A6" s="23" t="inlineStr">
        <is>
          <t>Track 1D CSV Historical</t>
        </is>
      </c>
      <c r="B6" s="22" t="inlineStr">
        <is>
          <t>Data Engineer 4</t>
        </is>
      </c>
      <c r="C6" s="22" t="inlineStr"/>
      <c r="D6" s="22" t="inlineStr">
        <is>
          <t>0.1, 0.4</t>
        </is>
      </c>
      <c r="E6" s="22" t="inlineStr">
        <is>
          <t>1A, 1B, 1C, 2*, 3*, 5*</t>
        </is>
      </c>
      <c r="F6" s="13" t="n">
        <v>3</v>
      </c>
      <c r="G6" s="13" t="inlineStr">
        <is>
          <t>Sprint 2</t>
        </is>
      </c>
    </row>
    <row r="7">
      <c r="A7" s="23" t="inlineStr">
        <is>
          <t>Track 1E Integration</t>
        </is>
      </c>
      <c r="B7" s="22" t="inlineStr">
        <is>
          <t>Data Engineer 1 + Analyst</t>
        </is>
      </c>
      <c r="C7" s="22" t="inlineStr"/>
      <c r="D7" s="22" t="inlineStr">
        <is>
          <t>1A/1B/1C done</t>
        </is>
      </c>
      <c r="E7" s="22" t="inlineStr">
        <is>
          <t>-</t>
        </is>
      </c>
      <c r="F7" s="13" t="n">
        <v>3</v>
      </c>
      <c r="G7" s="13" t="inlineStr">
        <is>
          <t>Sprint 3</t>
        </is>
      </c>
    </row>
    <row r="8">
      <c r="A8" s="23" t="inlineStr">
        <is>
          <t>Track 2A Graph</t>
        </is>
      </c>
      <c r="B8" s="22" t="inlineStr">
        <is>
          <t>AI Engineer 1</t>
        </is>
      </c>
      <c r="C8" s="22" t="inlineStr"/>
      <c r="D8" s="22" t="inlineStr">
        <is>
          <t>0.2</t>
        </is>
      </c>
      <c r="E8" s="22" t="inlineStr">
        <is>
          <t>2B, 2C, 3*, 5*</t>
        </is>
      </c>
      <c r="F8" s="13" t="n">
        <v>4</v>
      </c>
      <c r="G8" s="13" t="inlineStr">
        <is>
          <t>Sprint 2</t>
        </is>
      </c>
    </row>
    <row r="9">
      <c r="A9" s="23" t="inlineStr">
        <is>
          <t>Track 2B Tensor Map</t>
        </is>
      </c>
      <c r="B9" s="22" t="inlineStr">
        <is>
          <t>AI Engineer 2</t>
        </is>
      </c>
      <c r="C9" s="22" t="inlineStr"/>
      <c r="D9" s="22" t="inlineStr">
        <is>
          <t>0.2</t>
        </is>
      </c>
      <c r="E9" s="22" t="inlineStr">
        <is>
          <t>2A, 2C, 3*, 5*</t>
        </is>
      </c>
      <c r="F9" s="13" t="n">
        <v>4</v>
      </c>
      <c r="G9" s="13" t="inlineStr">
        <is>
          <t>Sprint 2</t>
        </is>
      </c>
    </row>
    <row r="10">
      <c r="A10" s="23" t="inlineStr">
        <is>
          <t>Track 2C Validation</t>
        </is>
      </c>
      <c r="B10" s="22" t="inlineStr">
        <is>
          <t>Quants</t>
        </is>
      </c>
      <c r="C10" s="22" t="inlineStr"/>
      <c r="D10" s="22" t="inlineStr">
        <is>
          <t>0.2, 0.4</t>
        </is>
      </c>
      <c r="E10" s="22" t="inlineStr">
        <is>
          <t>2A, 2B (dùng mock)</t>
        </is>
      </c>
      <c r="F10" s="13" t="n">
        <v>3</v>
      </c>
      <c r="G10" s="13" t="inlineStr">
        <is>
          <t>Sprint 3</t>
        </is>
      </c>
    </row>
    <row r="11">
      <c r="A11" s="23" t="inlineStr">
        <is>
          <t>Track 3A Baseline</t>
        </is>
      </c>
      <c r="B11" s="22" t="inlineStr">
        <is>
          <t>AI Engineer 3</t>
        </is>
      </c>
      <c r="C11" s="22" t="inlineStr"/>
      <c r="D11" s="22" t="inlineStr">
        <is>
          <t>0.2</t>
        </is>
      </c>
      <c r="E11" s="22" t="inlineStr">
        <is>
          <t>3B, 3C, 3D, 5*</t>
        </is>
      </c>
      <c r="F11" s="13" t="n">
        <v>4</v>
      </c>
      <c r="G11" s="13" t="inlineStr">
        <is>
          <t>Sprint 2</t>
        </is>
      </c>
    </row>
    <row r="12">
      <c r="A12" s="23" t="inlineStr">
        <is>
          <t>Track 3B Bond Dim</t>
        </is>
      </c>
      <c r="B12" s="22" t="inlineStr">
        <is>
          <t>AI Engineer 4</t>
        </is>
      </c>
      <c r="C12" s="22" t="inlineStr"/>
      <c r="D12" s="22" t="inlineStr">
        <is>
          <t>0.2, 3A.4</t>
        </is>
      </c>
      <c r="E12" s="22" t="inlineStr">
        <is>
          <t>3C, 3D, 5*</t>
        </is>
      </c>
      <c r="F12" s="13" t="n">
        <v>3</v>
      </c>
      <c r="G12" s="13" t="inlineStr">
        <is>
          <t>Sprint 3</t>
        </is>
      </c>
    </row>
    <row r="13">
      <c r="A13" s="23" t="inlineStr">
        <is>
          <t>Track 3C SVD Truncation</t>
        </is>
      </c>
      <c r="B13" s="22" t="inlineStr">
        <is>
          <t>AI Engineer 5</t>
        </is>
      </c>
      <c r="C13" s="22" t="inlineStr"/>
      <c r="D13" s="22" t="inlineStr">
        <is>
          <t>0.2</t>
        </is>
      </c>
      <c r="E13" s="22" t="inlineStr">
        <is>
          <t>3A, 3B, 3D, 5*</t>
        </is>
      </c>
      <c r="F13" s="13" t="n">
        <v>4</v>
      </c>
      <c r="G13" s="13" t="inlineStr">
        <is>
          <t>Sprint 3</t>
        </is>
      </c>
    </row>
    <row r="14">
      <c r="A14" s="23" t="inlineStr">
        <is>
          <t>Track 3D Kernel Opt</t>
        </is>
      </c>
      <c r="B14" s="22" t="inlineStr">
        <is>
          <t>AI Engineer 6</t>
        </is>
      </c>
      <c r="C14" s="22" t="inlineStr"/>
      <c r="D14" s="22" t="inlineStr">
        <is>
          <t>0.2, 3A.1</t>
        </is>
      </c>
      <c r="E14" s="22" t="inlineStr">
        <is>
          <t>3A, 3B, 3C, 5*</t>
        </is>
      </c>
      <c r="F14" s="13" t="n">
        <v>3</v>
      </c>
      <c r="G14" s="13" t="inlineStr">
        <is>
          <t>Sprint 3</t>
        </is>
      </c>
    </row>
    <row r="15">
      <c r="A15" s="23" t="inlineStr">
        <is>
          <t>Track 3E E2E Gate</t>
        </is>
      </c>
      <c r="B15" s="22" t="inlineStr">
        <is>
          <t>AI Lead</t>
        </is>
      </c>
      <c r="C15" s="22" t="inlineStr"/>
      <c r="D15" s="22" t="inlineStr">
        <is>
          <t>3B, 3C, 3D done</t>
        </is>
      </c>
      <c r="E15" s="22" t="inlineStr">
        <is>
          <t>-</t>
        </is>
      </c>
      <c r="F15" s="13" t="n">
        <v>2</v>
      </c>
      <c r="G15" s="13" t="inlineStr">
        <is>
          <t>Sprint 5</t>
        </is>
      </c>
    </row>
    <row r="16">
      <c r="A16" s="23" t="inlineStr">
        <is>
          <t>Epic 4 Calibration</t>
        </is>
      </c>
      <c r="B16" s="22" t="inlineStr">
        <is>
          <t>Risk Manager + Quants</t>
        </is>
      </c>
      <c r="C16" s="22" t="inlineStr"/>
      <c r="D16" s="22" t="inlineStr">
        <is>
          <t>3E, 1D.3</t>
        </is>
      </c>
      <c r="E16" s="22" t="inlineStr">
        <is>
          <t>-</t>
        </is>
      </c>
      <c r="F16" s="13" t="n">
        <v>4</v>
      </c>
      <c r="G16" s="13" t="inlineStr">
        <is>
          <t>Sprint 5</t>
        </is>
      </c>
    </row>
    <row r="17">
      <c r="A17" s="23" t="inlineStr">
        <is>
          <t>Epic 5 API/Emitter</t>
        </is>
      </c>
      <c r="B17" s="22" t="inlineStr">
        <is>
          <t>Backend Engineer</t>
        </is>
      </c>
      <c r="C17" s="22" t="inlineStr"/>
      <c r="D17" s="22" t="inlineStr">
        <is>
          <t>0.3</t>
        </is>
      </c>
      <c r="E17" s="22" t="inlineStr">
        <is>
          <t>tất cả track khác</t>
        </is>
      </c>
      <c r="F17" s="13" t="n">
        <v>4</v>
      </c>
      <c r="G17" s="13" t="inlineStr">
        <is>
          <t>Sprint 2</t>
        </is>
      </c>
    </row>
    <row r="18">
      <c r="A18" s="23" t="inlineStr">
        <is>
          <t>Epic 6 E2E Verify</t>
        </is>
      </c>
      <c r="B18" s="22" t="inlineStr">
        <is>
          <t>SRE + PM</t>
        </is>
      </c>
      <c r="C18" s="22" t="inlineStr"/>
      <c r="D18" s="22" t="inlineStr">
        <is>
          <t>1E, 4, 5</t>
        </is>
      </c>
      <c r="E18" s="22" t="inlineStr">
        <is>
          <t>-</t>
        </is>
      </c>
      <c r="F18" s="13" t="n">
        <v>3</v>
      </c>
      <c r="G18" s="13" t="inlineStr">
        <is>
          <t>Sprint 6</t>
        </is>
      </c>
    </row>
    <row r="19">
      <c r="A19" s="23" t="inlineStr">
        <is>
          <t>Track 1R Data Research</t>
        </is>
      </c>
      <c r="B19" s="22" t="inlineStr">
        <is>
          <t>Data Analyst + Eng 2</t>
        </is>
      </c>
      <c r="C19" s="22" t="n"/>
      <c r="D19" s="22" t="inlineStr">
        <is>
          <t>0.1, 0.4</t>
        </is>
      </c>
      <c r="E19" s="22" t="inlineStr">
        <is>
          <t>chạy TRƯỚC 1A/1B</t>
        </is>
      </c>
      <c r="F19" s="13" t="n">
        <v>3</v>
      </c>
      <c r="G19" s="13" t="inlineStr">
        <is>
          <t>Sprint 2</t>
        </is>
      </c>
    </row>
    <row r="20">
      <c r="A20" s="23" t="inlineStr">
        <is>
          <t>Track 2R Model Input</t>
        </is>
      </c>
      <c r="B20" s="22" t="inlineStr">
        <is>
          <t>AI Engineer 1+2</t>
        </is>
      </c>
      <c r="C20" s="22" t="n"/>
      <c r="D20" s="22" t="inlineStr">
        <is>
          <t>0.2</t>
        </is>
      </c>
      <c r="E20" s="22" t="inlineStr">
        <is>
          <t>chạy TRƯỚC 2A/2B</t>
        </is>
      </c>
      <c r="F20" s="13" t="n">
        <v>2</v>
      </c>
      <c r="G20" s="13" t="inlineStr">
        <is>
          <t>Sprint 2</t>
        </is>
      </c>
    </row>
    <row r="21">
      <c r="A21" s="23" t="inlineStr">
        <is>
          <t>Track 3R Math Design</t>
        </is>
      </c>
      <c r="B21" s="22" t="inlineStr">
        <is>
          <t>AI Lead + Quants</t>
        </is>
      </c>
      <c r="C21" s="22" t="n"/>
      <c r="D21" s="22" t="inlineStr">
        <is>
          <t>0.2</t>
        </is>
      </c>
      <c r="E21" s="22" t="inlineStr">
        <is>
          <t>PREREQUISITE cho Epic 3</t>
        </is>
      </c>
      <c r="F21" s="13" t="n">
        <v>3</v>
      </c>
      <c r="G21" s="13" t="inlineStr">
        <is>
          <t>Sprint 2</t>
        </is>
      </c>
    </row>
    <row r="22">
      <c r="A22" s="23" t="inlineStr">
        <is>
          <t>Track 4R Arch &amp; Latency</t>
        </is>
      </c>
      <c r="B22" s="22" t="inlineStr">
        <is>
          <t>Architect</t>
        </is>
      </c>
      <c r="C22" s="22" t="n"/>
      <c r="D22" s="22" t="inlineStr">
        <is>
          <t>-</t>
        </is>
      </c>
      <c r="E22" s="22" t="inlineStr">
        <is>
          <t>cross-cutting, chốt sớm</t>
        </is>
      </c>
      <c r="F22" s="13" t="n">
        <v>4</v>
      </c>
      <c r="G22" s="13" t="inlineStr">
        <is>
          <t>Sprint 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40" customWidth="1" min="4" max="4"/>
    <col width="55" customWidth="1" min="5" max="5"/>
    <col width="55" customWidth="1" min="6" max="6"/>
    <col width="14" customWidth="1" min="7" max="7"/>
    <col width="12" customWidth="1" min="8" max="8"/>
    <col width="12" customWidth="1" min="9" max="9"/>
    <col width="12" customWidth="1" min="10" max="10"/>
  </cols>
  <sheetData>
    <row r="1">
      <c r="A1" s="11" t="inlineStr">
        <is>
          <t>ID</t>
        </is>
      </c>
      <c r="B1" s="11" t="inlineStr">
        <is>
          <t>Type</t>
        </is>
      </c>
      <c r="C1" s="11" t="inlineStr">
        <is>
          <t>Severity</t>
        </is>
      </c>
      <c r="D1" s="11" t="inlineStr">
        <is>
          <t>Title</t>
        </is>
      </c>
      <c r="E1" s="11" t="inlineStr">
        <is>
          <t>Description</t>
        </is>
      </c>
      <c r="F1" s="11" t="inlineStr">
        <is>
          <t>Mitigation</t>
        </is>
      </c>
      <c r="G1" s="11" t="inlineStr">
        <is>
          <t>Owner</t>
        </is>
      </c>
      <c r="H1" s="11" t="inlineStr">
        <is>
          <t>Status</t>
        </is>
      </c>
      <c r="I1" s="11" t="inlineStr">
        <is>
          <t>Opened</t>
        </is>
      </c>
      <c r="J1" s="11" t="inlineStr">
        <is>
          <t>Closed</t>
        </is>
      </c>
    </row>
    <row r="2">
      <c r="A2" s="13" t="inlineStr">
        <is>
          <t>R-001</t>
        </is>
      </c>
      <c r="B2" s="13" t="inlineStr">
        <is>
          <t>Issue</t>
        </is>
      </c>
      <c r="C2" s="13" t="inlineStr">
        <is>
          <t>Major</t>
        </is>
      </c>
      <c r="D2" s="22" t="inlineStr">
        <is>
          <t>Legacy Story 1.1 overlap Track 1A</t>
        </is>
      </c>
      <c r="E2" s="22" t="inlineStr">
        <is>
          <t>File 1-1-web3-rpc-websocket-connection.md chồng lấn 1A.1-1A.4</t>
        </is>
      </c>
      <c r="F2" s="22" t="inlineStr">
        <is>
          <t>Chọn retire legacy hoặc gộp 1A.5 vào file legacy</t>
        </is>
      </c>
      <c r="G2" s="13" t="inlineStr">
        <is>
          <t>PM</t>
        </is>
      </c>
      <c r="H2" s="13" t="inlineStr">
        <is>
          <t>Open</t>
        </is>
      </c>
      <c r="I2" s="13" t="inlineStr">
        <is>
          <t>2026-07-05</t>
        </is>
      </c>
      <c r="J2" s="13" t="inlineStr"/>
    </row>
    <row r="3">
      <c r="A3" s="13" t="inlineStr">
        <is>
          <t>R-002</t>
        </is>
      </c>
      <c r="B3" s="13" t="inlineStr">
        <is>
          <t>Issue</t>
        </is>
      </c>
      <c r="C3" s="13" t="inlineStr">
        <is>
          <t>Major</t>
        </is>
      </c>
      <c r="D3" s="22" t="inlineStr">
        <is>
          <t>1/62 story có file chi tiết</t>
        </is>
      </c>
      <c r="E3" s="22" t="inlineStr">
        <is>
          <t>Chỉ Story 1.1 legacy có Dev Context, 61 story còn lại chỉ AC ngắn</t>
        </is>
      </c>
      <c r="F3" s="22" t="inlineStr">
        <is>
          <t>Chạy bmad-create-story batch cho Epic 0 + Sprint 2 stories</t>
        </is>
      </c>
      <c r="G3" s="13" t="inlineStr">
        <is>
          <t>PM</t>
        </is>
      </c>
      <c r="H3" s="13" t="inlineStr">
        <is>
          <t>Open</t>
        </is>
      </c>
      <c r="I3" s="13" t="inlineStr">
        <is>
          <t>2026-07-05</t>
        </is>
      </c>
      <c r="J3" s="13" t="inlineStr"/>
    </row>
    <row r="4">
      <c r="A4" s="13" t="inlineStr">
        <is>
          <t>R-003</t>
        </is>
      </c>
      <c r="B4" s="13" t="inlineStr">
        <is>
          <t>Issue</t>
        </is>
      </c>
      <c r="C4" s="13" t="inlineStr">
        <is>
          <t>Major</t>
        </is>
      </c>
      <c r="D4" s="22" t="inlineStr">
        <is>
          <t>Sprint-status thiếu blocked_by dependency</t>
        </is>
      </c>
      <c r="E4" s="22" t="inlineStr">
        <is>
          <t>Dev có thể pull Track 2 trước khi Epic 0 xong</t>
        </is>
      </c>
      <c r="F4" s="22" t="inlineStr">
        <is>
          <t>Thêm field blocked_by trong sprint-status.yaml</t>
        </is>
      </c>
      <c r="G4" s="13" t="inlineStr">
        <is>
          <t>Tech Lead</t>
        </is>
      </c>
      <c r="H4" s="13" t="inlineStr">
        <is>
          <t>Open</t>
        </is>
      </c>
      <c r="I4" s="13" t="inlineStr">
        <is>
          <t>2026-07-05</t>
        </is>
      </c>
      <c r="J4" s="13" t="inlineStr"/>
    </row>
    <row r="5">
      <c r="A5" s="13" t="inlineStr">
        <is>
          <t>R-004</t>
        </is>
      </c>
      <c r="B5" s="13" t="inlineStr">
        <is>
          <t>Risk</t>
        </is>
      </c>
      <c r="C5" s="13" t="inlineStr">
        <is>
          <t>Major</t>
        </is>
      </c>
      <c r="D5" s="22" t="inlineStr">
        <is>
          <t>Story 3E.1 gate 30ms có thể block CI vô lý</t>
        </is>
      </c>
      <c r="E5" s="22" t="inlineStr">
        <is>
          <t>Nếu baseline Track 3A p95 = 500ms, gate 30ms không đạt được sớm</t>
        </is>
      </c>
      <c r="F5" s="22" t="inlineStr">
        <is>
          <t>Enable gate chỉ sau khi Story 3A.4 chốt baseline</t>
        </is>
      </c>
      <c r="G5" s="13" t="inlineStr">
        <is>
          <t>AI Lead</t>
        </is>
      </c>
      <c r="H5" s="13" t="inlineStr">
        <is>
          <t>Open</t>
        </is>
      </c>
      <c r="I5" s="13" t="inlineStr">
        <is>
          <t>2026-07-05</t>
        </is>
      </c>
      <c r="J5" s="13" t="inlineStr"/>
    </row>
    <row r="6">
      <c r="A6" s="13" t="inlineStr">
        <is>
          <t>R-005</t>
        </is>
      </c>
      <c r="B6" s="13" t="inlineStr">
        <is>
          <t>Risk</t>
        </is>
      </c>
      <c r="C6" s="13" t="inlineStr">
        <is>
          <t>Minor</t>
        </is>
      </c>
      <c r="D6" s="22" t="inlineStr">
        <is>
          <t>Scope creep Story 4.4 &amp; 5.4</t>
        </is>
      </c>
      <c r="E6" s="22" t="inlineStr">
        <is>
          <t>Backpressure + API Auth không có FR gốc</t>
        </is>
      </c>
      <c r="F6" s="22" t="inlineStr">
        <is>
          <t>Confirm với PM: giữ hay defer v2</t>
        </is>
      </c>
      <c r="G6" s="13" t="inlineStr">
        <is>
          <t>PM</t>
        </is>
      </c>
      <c r="H6" s="13" t="inlineStr">
        <is>
          <t>Open</t>
        </is>
      </c>
      <c r="I6" s="13" t="inlineStr">
        <is>
          <t>2026-07-05</t>
        </is>
      </c>
      <c r="J6" s="13" t="inlineStr"/>
    </row>
    <row r="7">
      <c r="A7" s="13" t="inlineStr">
        <is>
          <t>R-006</t>
        </is>
      </c>
      <c r="B7" s="13" t="inlineStr">
        <is>
          <t>Risk</t>
        </is>
      </c>
      <c r="C7" s="13" t="inlineStr">
        <is>
          <t>Minor</t>
        </is>
      </c>
      <c r="D7" s="22" t="inlineStr">
        <is>
          <t>Mâu thuẫn SPEC vs Brief về Frontend</t>
        </is>
      </c>
      <c r="E7" s="22" t="inlineStr">
        <is>
          <t>Brief in-scope Next.js dashboard, SPEC non-goal</t>
        </is>
      </c>
      <c r="F7" s="22" t="inlineStr">
        <is>
          <t>Xoá Frontend khỏi Brief</t>
        </is>
      </c>
      <c r="G7" s="13" t="inlineStr">
        <is>
          <t>PM</t>
        </is>
      </c>
      <c r="H7" s="13" t="inlineStr">
        <is>
          <t>Open</t>
        </is>
      </c>
      <c r="I7" s="13" t="inlineStr">
        <is>
          <t>2026-07-05</t>
        </is>
      </c>
      <c r="J7" s="13" t="inlineStr"/>
    </row>
    <row r="8">
      <c r="A8" s="13" t="inlineStr">
        <is>
          <t>R-007</t>
        </is>
      </c>
      <c r="B8" s="13" t="inlineStr">
        <is>
          <t>Risk</t>
        </is>
      </c>
      <c r="C8" s="13" t="inlineStr">
        <is>
          <t>Minor</t>
        </is>
      </c>
      <c r="D8" s="22" t="inlineStr">
        <is>
          <t>RPC free tier có thể rate-limit lúc thị trường sập</t>
        </is>
      </c>
      <c r="E8" s="22" t="inlineStr">
        <is>
          <t>Alchemy/Infura free có thể timeout khi Flash Crash</t>
        </is>
      </c>
      <c r="F8" s="22" t="inlineStr">
        <is>
          <t>Chuẩn bị plan upgrade dedicated node cho GA</t>
        </is>
      </c>
      <c r="G8" s="13" t="inlineStr">
        <is>
          <t>SRE</t>
        </is>
      </c>
      <c r="H8" s="13" t="inlineStr">
        <is>
          <t>Open</t>
        </is>
      </c>
      <c r="I8" s="13" t="inlineStr">
        <is>
          <t>2026-07-05</t>
        </is>
      </c>
      <c r="J8" s="13" t="inlineStr"/>
    </row>
    <row r="9">
      <c r="A9" s="13" t="inlineStr">
        <is>
          <t>R-008</t>
        </is>
      </c>
      <c r="B9" s="13" t="inlineStr">
        <is>
          <t>Risk</t>
        </is>
      </c>
      <c r="C9" s="13" t="inlineStr">
        <is>
          <t>Minor</t>
        </is>
      </c>
      <c r="D9" s="22" t="inlineStr">
        <is>
          <t>TorchScript floating-point drift</t>
        </is>
      </c>
      <c r="E9" s="22" t="inlineStr">
        <is>
          <t>Story 3D.2 yêu cầu bit-identical - thực tế có drift</t>
        </is>
      </c>
      <c r="F9" s="22" t="inlineStr">
        <is>
          <t>Nới AC sang tolerance 1e-6</t>
        </is>
      </c>
      <c r="G9" s="13" t="inlineStr">
        <is>
          <t>AI Lead</t>
        </is>
      </c>
      <c r="H9" s="13" t="inlineStr">
        <is>
          <t>Open</t>
        </is>
      </c>
      <c r="I9" s="13" t="inlineStr">
        <is>
          <t>2026-07-05</t>
        </is>
      </c>
      <c r="J9" s="13" t="inlineStr"/>
    </row>
    <row r="10">
      <c r="A10" s="13" t="inlineStr">
        <is>
          <t>R-009</t>
        </is>
      </c>
      <c r="B10" s="13" t="inlineStr">
        <is>
          <t>Risk</t>
        </is>
      </c>
      <c r="C10" s="13" t="inlineStr">
        <is>
          <t>Minor</t>
        </is>
      </c>
      <c r="D10" s="22" t="inlineStr">
        <is>
          <t>Nansen reference data availability</t>
        </is>
      </c>
      <c r="E10" s="22" t="inlineStr">
        <is>
          <t>Story 2C.3 phụ thuộc dữ liệu public - cần confirm truy cập</t>
        </is>
      </c>
      <c r="F10" s="22" t="inlineStr">
        <is>
          <t>Verify data source + backup plan (Dune)</t>
        </is>
      </c>
      <c r="G10" s="13" t="inlineStr">
        <is>
          <t>Quants</t>
        </is>
      </c>
      <c r="H10" s="13" t="inlineStr">
        <is>
          <t>Open</t>
        </is>
      </c>
      <c r="I10" s="13" t="inlineStr">
        <is>
          <t>2026-07-05</t>
        </is>
      </c>
      <c r="J10" s="13" t="inlineStr"/>
    </row>
    <row r="11">
      <c r="A11" s="13" t="inlineStr">
        <is>
          <t>R-010</t>
        </is>
      </c>
      <c r="B11" s="13" t="inlineStr">
        <is>
          <t>Risk</t>
        </is>
      </c>
      <c r="C11" s="13" t="inlineStr">
        <is>
          <t>Minor</t>
        </is>
      </c>
      <c r="D11" s="22" t="inlineStr">
        <is>
          <t>Chưa có story deployment</t>
        </is>
      </c>
      <c r="E11" s="22" t="inlineStr">
        <is>
          <t>PRFAQ nói Render/Railway - epics.md không có story</t>
        </is>
      </c>
      <c r="F11" s="22" t="inlineStr">
        <is>
          <t>Thêm story deployment vào Epic 6 hoặc defer v2</t>
        </is>
      </c>
      <c r="G11" s="13" t="inlineStr">
        <is>
          <t>SRE</t>
        </is>
      </c>
      <c r="H11" s="13" t="inlineStr">
        <is>
          <t>Open</t>
        </is>
      </c>
      <c r="I11" s="13" t="inlineStr">
        <is>
          <t>2026-07-05</t>
        </is>
      </c>
      <c r="J11" s="13" t="inlineStr"/>
    </row>
  </sheetData>
  <conditionalFormatting sqref="C2:C11">
    <cfRule type="cellIs" priority="1" operator="equal" dxfId="5">
      <formula>"Critical"</formula>
    </cfRule>
    <cfRule type="cellIs" priority="2" operator="equal" dxfId="8">
      <formula>"Major"</formula>
    </cfRule>
    <cfRule type="cellIs" priority="3" operator="equal" dxfId="7">
      <formula>"Minor"</formula>
    </cfRule>
  </conditionalFormatting>
  <dataValidations count="1">
    <dataValidation sqref="H2:H11" showDropDown="0" showInputMessage="0" showErrorMessage="0" allowBlank="0" type="list">
      <formula1>"Open,In-Progress,Mitigated,Closed"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4" t="inlineStr">
        <is>
          <t>QuantumRadar — Sprint Tracker (v3.1-research-build-split)</t>
        </is>
      </c>
    </row>
    <row r="2">
      <c r="A2" s="25" t="inlineStr"/>
    </row>
    <row r="3">
      <c r="A3" s="26" t="inlineStr">
        <is>
          <t>Cấu trúc file</t>
        </is>
      </c>
    </row>
    <row r="4">
      <c r="A4" s="25" t="inlineStr">
        <is>
          <t>• Dashboard — KPI + tiến độ theo Epic/Sprint (tự cập nhật từ Stories)</t>
        </is>
      </c>
    </row>
    <row r="5">
      <c r="A5" s="25" t="inlineStr">
        <is>
          <t>• Stories — Bảng chính, 74 stories. Cập nhật cột Status/Started/Completed/Blocker.</t>
        </is>
      </c>
    </row>
    <row r="6">
      <c r="A6" s="25" t="inlineStr">
        <is>
          <t>• Epics — Tổng quan 7 Epic + FR coverage + track count</t>
        </is>
      </c>
    </row>
    <row r="7">
      <c r="A7" s="25" t="inlineStr">
        <is>
          <t>• Team Assignment — Phân công 21 track (gồm 4 track research 1R/2R/3R/4R) cho dev/agent, ghi 'Assigned To'</t>
        </is>
      </c>
    </row>
    <row r="8">
      <c r="A8" s="25" t="inlineStr">
        <is>
          <t>• Risks &amp; Issues — 10 rủi ro/issue đã phát hiện, cập nhật Status.
• Roadmap — Lộ trình ưu tiên: nên làm task nào trước (research sprint, wave, critical path)</t>
        </is>
      </c>
    </row>
    <row r="9">
      <c r="A9" s="25" t="inlineStr"/>
    </row>
    <row r="10">
      <c r="A10" s="26" t="inlineStr">
        <is>
          <t>Cách dùng hàng ngày</t>
        </is>
      </c>
    </row>
    <row r="11">
      <c r="A11" s="25" t="inlineStr">
        <is>
          <t>1. Standup: mở Stories, filter Sprint hiện tại → xem Status của từng story.</t>
        </is>
      </c>
    </row>
    <row r="12">
      <c r="A12" s="25" t="inlineStr">
        <is>
          <t>2. Dev cập nhật cột 'Status' bằng dropdown: backlog → ready-for-dev → in-progress → review → done.</t>
        </is>
      </c>
    </row>
    <row r="13">
      <c r="A13" s="25" t="inlineStr">
        <is>
          <t>3. Nếu blocked, chuyển sang 'blocked' + ghi lý do vào 'Blocker Notes'.</t>
        </is>
      </c>
    </row>
    <row r="14">
      <c r="A14" s="25" t="inlineStr">
        <is>
          <t>4. Điền 'Started' khi bắt đầu, 'Completed' khi done.</t>
        </is>
      </c>
    </row>
    <row r="15">
      <c r="A15" s="25" t="inlineStr">
        <is>
          <t>5. Dashboard tự tính lại KPI + tiến độ.</t>
        </is>
      </c>
    </row>
    <row r="16">
      <c r="A16" s="25" t="inlineStr"/>
    </row>
    <row r="17">
      <c r="A17" s="26" t="inlineStr">
        <is>
          <t>Ưu tiên (Priority)</t>
        </is>
      </c>
    </row>
    <row r="18">
      <c r="A18" s="25" t="inlineStr">
        <is>
          <t>P0 = Critical path (Epic 0 + Success Signal + NFR1)</t>
        </is>
      </c>
    </row>
    <row r="19">
      <c r="A19" s="25" t="inlineStr">
        <is>
          <t>P1 = Must-have PoC</t>
        </is>
      </c>
    </row>
    <row r="20">
      <c r="A20" s="25" t="inlineStr">
        <is>
          <t>P2 = Nice-to-have (có thể defer)</t>
        </is>
      </c>
    </row>
    <row r="21">
      <c r="A21" s="25" t="inlineStr">
        <is>
          <t>P3 = Backlog (v2)</t>
        </is>
      </c>
    </row>
    <row r="22">
      <c r="A22" s="25" t="inlineStr"/>
    </row>
    <row r="23">
      <c r="A23" s="26" t="inlineStr">
        <is>
          <t>Song song hoá</t>
        </is>
      </c>
    </row>
    <row r="24">
      <c r="A24" s="25" t="inlineStr">
        <is>
          <t>Sau khi Epic 0 xong (Sprint 1), 11 track chạy song song. Xem sheet Team Assignment để phân công.</t>
        </is>
      </c>
    </row>
    <row r="25">
      <c r="A25" s="25" t="inlineStr">
        <is>
          <t>Rule: dev chỉ pick story khi 'Depends On' đã done. Nếu deps chưa xong nhưng có mock (Epic 0) → dev vẫn code được.</t>
        </is>
      </c>
    </row>
    <row r="26">
      <c r="A26" s="25" t="inlineStr"/>
    </row>
    <row r="27">
      <c r="A27" s="26" t="inlineStr">
        <is>
          <t>Cập nhật status weekly</t>
        </is>
      </c>
    </row>
    <row r="28">
      <c r="A28" s="25" t="inlineStr">
        <is>
          <t>• Thứ 2: PM review Dashboard + Risks</t>
        </is>
      </c>
    </row>
    <row r="29">
      <c r="A29" s="25" t="inlineStr">
        <is>
          <t>• Thứ 6: Retro + cập nhật Risks &amp; Issues</t>
        </is>
      </c>
    </row>
    <row r="30">
      <c r="A30" s="25" t="inlineStr"/>
    </row>
    <row r="31">
      <c r="A31" s="26" t="inlineStr">
        <is>
          <t>Đồng bộ với sprint-status.yaml</t>
        </is>
      </c>
    </row>
    <row r="32">
      <c r="A32" s="25" t="inlineStr">
        <is>
          <t>File Excel này là view cho team. sprint-status.yaml là source of truth cho BMad workflow.</t>
        </is>
      </c>
    </row>
    <row r="33">
      <c r="A33" s="25" t="inlineStr">
        <is>
          <t>Khi story chuyển done → cập nhật cả 2 file.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2026-07-05T10:26:29Z</dcterms:created>
  <dcterms:modified xmlns:dcterms="http://purl.org/dc/terms/" xmlns:xsi="http://www.w3.org/2001/XMLSchema-instance" xsi:type="dcterms:W3CDTF">2026-07-06T07:12:50Z</dcterms:modified>
</cp:coreProperties>
</file>